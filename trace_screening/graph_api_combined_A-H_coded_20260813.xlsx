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b5520775a94952" /></Relationships>
</file>

<file path=xl/workbook.xml><?xml version="1.0" encoding="utf-8"?>
<x:workbook xmlns:x="http://schemas.openxmlformats.org/spreadsheetml/2006/main">
  <x:sheets>
    <x:sheet xmlns:r="http://schemas.openxmlformats.org/officeDocument/2006/relationships" name="Summary" sheetId="1" r:id="R04aeb24870d34692"/>
    <x:sheet xmlns:r="http://schemas.openxmlformats.org/officeDocument/2006/relationships" name="Coded Runs" sheetId="2" r:id="R40f478b4dd564d0a"/>
    <x:sheet xmlns:r="http://schemas.openxmlformats.org/officeDocument/2006/relationships" name="Raw Responses" sheetId="3" r:id="R25148a49cff142d3"/>
    <x:sheet xmlns:r="http://schemas.openxmlformats.org/officeDocument/2006/relationships" name="Codebook" sheetId="4" r:id="Ra20d50fc12644345"/>
    <x:sheet xmlns:r="http://schemas.openxmlformats.org/officeDocument/2006/relationships" name="Manifest" sheetId="5" r:id="Rb9f09a2d0cf340b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0"/>
    <x:numFmt numFmtId="202" formatCode="0.0"/>
    <x:numFmt numFmtId="203" formatCode="yyyy-mm-dd hh:mm:ss"/>
  </x:numFmts>
  <x:fonts count="9">
    <x:font>
      <x:sz val="11"/>
      <x:name val="Carlito"/>
    </x:font>
    <x:font>
      <x:b/>
      <x:sz val="18"/>
      <x:color rgb="FFFFFFFF"/>
      <x:name val="Carlito"/>
    </x:font>
    <x:font>
      <x:i/>
      <x:sz val="10"/>
      <x:color rgb="FF1F2937"/>
      <x:name val="Carlito"/>
    </x:font>
    <x:font>
      <x:b/>
      <x:sz val="11"/>
      <x:color rgb="FFFFFFFF"/>
      <x:name val="Carlito"/>
    </x:font>
    <x:font>
      <x:b/>
      <x:sz val="10"/>
      <x:color rgb="FFFFFFFF"/>
      <x:name val="Carlito"/>
    </x:font>
    <x:font>
      <x:b/>
      <x:sz val="12"/>
      <x:color rgb="FF1F2937"/>
      <x:name val="Carlito"/>
    </x:font>
    <x:font>
      <x:sz val="10"/>
      <x:color rgb="FF1F2937"/>
      <x:name val="Carlito"/>
    </x:font>
    <x:font>
      <x:i/>
      <x:sz val="11"/>
      <x:color rgb="FF1F2937"/>
      <x:name val="Carlito"/>
    </x:font>
    <x:font>
      <x:sz val="11"/>
      <x:color rgb="FF1F2937"/>
      <x:name val="Carlito"/>
    </x:font>
  </x:fonts>
  <x:fills count="7">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0F766E"/>
      </x:patternFill>
    </x:fill>
    <x:fill>
      <x:patternFill patternType="solid">
        <x:fgColor rgb="FFDDF3EF"/>
      </x:patternFill>
    </x:fill>
    <x:fill>
      <x:patternFill patternType="solid">
        <x:fgColor rgb="FFFFF4CC"/>
      </x:patternFill>
    </x:fill>
  </x:fills>
  <x:borders count="2">
    <x:border/>
    <x:border>
      <x:bottom/>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200" fontId="5" fillId="5" borderId="0" xfId="0" applyNumberFormat="1" applyFont="1" applyFill="1" applyBorder="1" applyAlignment="1">
      <x:alignment horizontal="center"/>
    </x:xf>
    <x:xf numFmtId="201" fontId="5" fillId="5" borderId="0" xfId="0" applyNumberFormat="1" applyFont="1" applyFill="1" applyBorder="1" applyAlignment="1">
      <x:alignment horizontal="center"/>
    </x:xf>
    <x:xf numFmtId="200" fontId="0" fillId="0" borderId="0" xfId="0" applyNumberFormat="1" applyFont="1" applyFill="1" applyBorder="1"/>
    <x:xf numFmtId="202" fontId="0" fillId="0"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top" wrapText="1"/>
    </x:xf>
    <x:xf numFmtId="203"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xf numFmtId="0" fontId="8" fillId="6" borderId="0" xfId="0" applyNumberFormat="1" applyFont="1" applyFill="1" applyBorder="1"/>
    <x:xf numFmtId="0" fontId="8" fillId="6" borderId="0" xfId="0" applyNumberFormat="1" applyFont="1" applyFill="1" applyBorder="1" applyAlignment="1">
      <x:alignment wrapText="1"/>
    </x:xf>
    <x:xf numFmtId="0" fontId="8" fillId="6" borderId="0" xfId="0" applyNumberFormat="1" applyFont="1" applyFill="1" applyBorder="1" applyAlignment="1">
      <x:alignment vertical="top" wrapText="1"/>
    </x:xf>
  </x:cellXfs>
  <x:cellStyles count="1">
    <x:cellStyle name="Normal" xfId="0"/>
  </x:cellStyles>
  <x:dxfs count="8">
    <x:dxf>
      <x:font>
        <x:color rgb="FF991B1B"/>
      </x:font>
      <x:fill>
        <x:patternFill patternType="solid">
          <x:bgColor rgb="FFFDE2E2"/>
        </x:patternFill>
      </x:fill>
    </x:dxf>
    <x:dxf>
      <x:font>
        <x:color rgb="FF991B1B"/>
      </x:font>
      <x:fill>
        <x:patternFill patternType="solid">
          <x:bgColor rgb="FFFDE2E2"/>
        </x:patternFill>
      </x:fill>
    </x:dxf>
    <x:dxf>
      <x:font>
        <x:color rgb="FF991B1B"/>
      </x:font>
      <x:fill>
        <x:patternFill patternType="solid">
          <x:bgColor rgb="FFFDE2E2"/>
        </x:patternFill>
      </x:fill>
    </x:dxf>
    <x:dxf>
      <x:font>
        <x:color rgb="FF991B1B"/>
      </x:font>
      <x:fill>
        <x:patternFill patternType="solid">
          <x:bgColor rgb="FFFDE2E2"/>
        </x:patternFill>
      </x:fill>
    </x:dxf>
    <x:dxf>
      <x:font>
        <x:color rgb="FF991B1B"/>
      </x:font>
      <x:fill>
        <x:patternFill patternType="solid">
          <x:bgColor rgb="FFFDE2E2"/>
        </x:patternFill>
      </x:fill>
    </x:dxf>
    <x:dxf>
      <x:font>
        <x:color rgb="FF991B1B"/>
      </x:font>
      <x:fill>
        <x:patternFill patternType="solid">
          <x:bgColor rgb="FFFDE2E2"/>
        </x:patternFill>
      </x:fill>
    </x:dxf>
    <x:dxf>
      <x:font>
        <x:color rgb="FF991B1B"/>
      </x:font>
      <x:fill>
        <x:patternFill patternType="solid">
          <x:bgColor rgb="FFFDE2E2"/>
        </x:patternFill>
      </x:fill>
    </x:dxf>
    <x:dxf>
      <x:font>
        <x:b/>
        <x:color rgb="FF92400E"/>
      </x:font>
      <x:fill>
        <x:patternFill patternType="solid">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6115bca822436d" /><Relationship Type="http://schemas.openxmlformats.org/officeDocument/2006/relationships/theme" Target="/xl/theme/theme1.xml" Id="Rc020803319114dfb" /><Relationship Type="http://schemas.openxmlformats.org/officeDocument/2006/relationships/sharedStrings" Target="/xl/sharedStrings.xml" Id="R136be36deada457d" /><Relationship Type="http://schemas.openxmlformats.org/officeDocument/2006/relationships/worksheet" Target="/xl/worksheets/sheet1.xml" Id="R04aeb24870d34692" /><Relationship Type="http://schemas.openxmlformats.org/officeDocument/2006/relationships/worksheet" Target="/xl/worksheets/sheet2.xml" Id="R40f478b4dd564d0a" /><Relationship Type="http://schemas.openxmlformats.org/officeDocument/2006/relationships/worksheet" Target="/xl/worksheets/sheet3.xml" Id="R25148a49cff142d3" /><Relationship Type="http://schemas.openxmlformats.org/officeDocument/2006/relationships/worksheet" Target="/xl/worksheets/sheet4.xml" Id="Ra20d50fc12644345" /><Relationship Type="http://schemas.openxmlformats.org/officeDocument/2006/relationships/worksheet" Target="/xl/worksheets/sheet5.xml" Id="Rb9f09a2d0cf340b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9" hidden="0" customWidth="1"/>
    <x:col min="9" max="9" width="19" hidden="0" customWidth="1"/>
    <x:col min="10" max="10" width="19" hidden="0" customWidth="1"/>
    <x:col min="11" max="11" width="19" hidden="0" customWidth="1"/>
  </x:cols>
  <x:sheetData>
    <x:row r="1" ht="30" customHeight="1">
      <x:c r="A1" s="3" t="str">
        <x:v>Graph API Pilot — Combined A–H Audit</x:v>
      </x:c>
    </x:row>
    <x:row r="2" ht="28" customHeight="1">
      <x:c r="A2" s="7" t="str">
        <x:v>96 API runs · 3 models · 8 graph conditions · repaired List-All prompt</x:v>
      </x:c>
    </x:row>
    <x:row r="4">
      <x:c r="A4" s="10" t="str">
        <x:v>Validation and headline outcomes</x:v>
      </x:c>
      <x:c r="B4" s="10"/>
      <x:c r="C4" s="10"/>
      <x:c r="D4" s="10"/>
      <x:c r="E4" s="10"/>
      <x:c r="F4" s="10"/>
      <x:c r="G4" s="10"/>
      <x:c r="H4" s="10"/>
      <x:c r="I4" s="10"/>
      <x:c r="J4" s="10"/>
      <x:c r="K4" s="10"/>
    </x:row>
    <x:row r="5">
      <x:c r="A5" s="15" t="str">
        <x:v>Total runs</x:v>
      </x:c>
      <x:c r="B5" s="15" t="str">
        <x:v>HTTP 200</x:v>
      </x:c>
      <x:c r="C5" s="15" t="str">
        <x:v>Exact paths</x:v>
      </x:c>
      <x:c r="D5" s="15" t="str">
        <x:v>Weights</x:v>
      </x:c>
      <x:c r="E5" s="15" t="str">
        <x:v>Edge counts</x:v>
      </x:c>
      <x:c r="F5" s="15" t="str">
        <x:v>Consistency</x:v>
      </x:c>
      <x:c r="G5" s="15" t="str">
        <x:v>Confusion</x:v>
      </x:c>
      <x:c r="H5" s="15" t="str">
        <x:v>Completeness</x:v>
      </x:c>
      <x:c r="I5" s="15" t="str">
        <x:v>Parseable</x:v>
      </x:c>
      <x:c r="J5" s="15" t="str">
        <x:v>Self-corrections</x:v>
      </x:c>
      <x:c r="K5" s="15" t="str">
        <x:v>Total cost</x:v>
      </x:c>
    </x:row>
    <x:row r="6">
      <x:c r="A6" s="18" t="n">
        <x:f>COUNTA('Coded Runs'!A5:A100)</x:f>
        <x:v>96</x:v>
      </x:c>
      <x:c r="B6" s="18" t="n">
        <x:f>COUNTIF('Coded Runs'!G5:G100,200)</x:f>
        <x:v>96</x:v>
      </x:c>
      <x:c r="C6" s="19" t="n">
        <x:f>AVERAGE('Coded Runs'!P5:P100)</x:f>
        <x:v>1</x:v>
      </x:c>
      <x:c r="D6" s="19" t="n">
        <x:f>AVERAGE('Coded Runs'!Q5:Q100)</x:f>
        <x:v>1</x:v>
      </x:c>
      <x:c r="E6" s="19" t="n">
        <x:f>AVERAGE('Coded Runs'!R5:R100)</x:f>
        <x:v>1</x:v>
      </x:c>
      <x:c r="F6" s="19" t="n">
        <x:f>AVERAGE('Coded Runs'!S5:S100)</x:f>
        <x:v>1</x:v>
      </x:c>
      <x:c r="G6" s="19" t="n">
        <x:f>AVERAGE('Coded Runs'!T5:T100)</x:f>
        <x:v>0</x:v>
      </x:c>
      <x:c r="H6" s="19" t="n">
        <x:f>AVERAGE('Coded Runs'!X5:X100)</x:f>
        <x:v>1</x:v>
      </x:c>
      <x:c r="I6" s="19" t="n">
        <x:f>AVERAGE('Coded Runs'!Y5:Y100)</x:f>
        <x:v>1</x:v>
      </x:c>
      <x:c r="J6" s="18" t="n">
        <x:f>SUM('Coded Runs'!Z5:Z100)</x:f>
        <x:v>1</x:v>
      </x:c>
      <x:c r="K6" s="20" t="n">
        <x:f>SUM('Coded Runs'!N5:N100)</x:f>
        <x:v>0.44439723</x:v>
      </x:c>
    </x:row>
    <x:row r="9">
      <x:c r="A9" s="10" t="str">
        <x:v>Performance by model and graph</x:v>
      </x:c>
      <x:c r="B9" s="10"/>
      <x:c r="C9" s="10"/>
      <x:c r="D9" s="10"/>
      <x:c r="E9" s="10"/>
      <x:c r="F9" s="10"/>
      <x:c r="G9" s="10"/>
      <x:c r="H9" s="10"/>
      <x:c r="I9" s="10"/>
      <x:c r="J9" s="10"/>
      <x:c r="K9" s="10"/>
    </x:row>
    <x:row r="10">
      <x:c r="A10" s="15" t="str">
        <x:v>Model</x:v>
      </x:c>
      <x:c r="B10" s="15" t="str">
        <x:v>Graph</x:v>
      </x:c>
      <x:c r="C10" s="15" t="str">
        <x:v>N</x:v>
      </x:c>
      <x:c r="D10" s="15" t="str">
        <x:v>Exact</x:v>
      </x:c>
      <x:c r="E10" s="15" t="str">
        <x:v>Weights</x:v>
      </x:c>
      <x:c r="F10" s="15" t="str">
        <x:v>Edges</x:v>
      </x:c>
      <x:c r="G10" s="15" t="str">
        <x:v>Consistency</x:v>
      </x:c>
      <x:c r="H10" s="15" t="str">
        <x:v>Confusion</x:v>
      </x:c>
      <x:c r="I10" s="15" t="str">
        <x:v>Completeness</x:v>
      </x:c>
      <x:c r="J10" s="15" t="str">
        <x:v>Parseable</x:v>
      </x:c>
      <x:c r="K10" s="15" t="str">
        <x:v>Self-correct</x:v>
      </x:c>
    </x:row>
    <x:row r="11">
      <x:c r="A11" t="str">
        <x:v>claude</x:v>
      </x:c>
      <x:c r="B11" t="str">
        <x:v>A</x:v>
      </x:c>
      <x:c r="C11" t="n">
        <x:f>COUNTIFS('Coded Runs'!$D$5:$D$100,A11,'Coded Runs'!$E$5:$E$100,B11)</x:f>
        <x:v>5</x:v>
      </x:c>
      <x:c r="D11" s="21" t="n">
        <x:f>IF(C11=0,0,SUMIFS('Coded Runs'!$P$5:$P$100,'Coded Runs'!$D$5:$D$100,A11,'Coded Runs'!$E$5:$E$100,B11)/C11)</x:f>
        <x:v>1</x:v>
      </x:c>
      <x:c r="E11" s="21" t="n">
        <x:f>IF(C11=0,0,SUMIFS('Coded Runs'!$Q$5:$Q$100,'Coded Runs'!$D$5:$D$100,A11,'Coded Runs'!$E$5:$E$100,B11)/C11)</x:f>
        <x:v>1</x:v>
      </x:c>
      <x:c r="F11" s="21" t="n">
        <x:f>IF(C11=0,0,SUMIFS('Coded Runs'!$R$5:$R$100,'Coded Runs'!$D$5:$D$100,A11,'Coded Runs'!$E$5:$E$100,B11)/C11)</x:f>
        <x:v>1</x:v>
      </x:c>
      <x:c r="G11" s="21" t="n">
        <x:f>IF(C11=0,0,SUMIFS('Coded Runs'!$S$5:$S$100,'Coded Runs'!$D$5:$D$100,A11,'Coded Runs'!$E$5:$E$100,B11)/C11)</x:f>
        <x:v>1</x:v>
      </x:c>
      <x:c r="H11" s="21" t="n">
        <x:f>IF(C11=0,0,SUMIFS('Coded Runs'!$T$5:$T$100,'Coded Runs'!$D$5:$D$100,A11,'Coded Runs'!$E$5:$E$100,B11)/C11)</x:f>
        <x:v>0</x:v>
      </x:c>
      <x:c r="I11" s="21" t="n">
        <x:f>IF(C11=0,0,SUMIFS('Coded Runs'!$X$5:$X$100,'Coded Runs'!$D$5:$D$100,A11,'Coded Runs'!$E$5:$E$100,B11)/C11)</x:f>
        <x:v>1</x:v>
      </x:c>
      <x:c r="J11" s="21" t="n">
        <x:f>IF(C11=0,0,SUMIFS('Coded Runs'!$Y$5:$Y$100,'Coded Runs'!$D$5:$D$100,A11,'Coded Runs'!$E$5:$E$100,B11)/C11)</x:f>
        <x:v>1</x:v>
      </x:c>
      <x:c r="K11" t="n">
        <x:f>SUMIFS('Coded Runs'!$Z$5:$Z$100,'Coded Runs'!$D$5:$D$100,A11,'Coded Runs'!$E$5:$E$100,B11)</x:f>
        <x:v>0</x:v>
      </x:c>
    </x:row>
    <x:row r="12">
      <x:c r="A12" t="str">
        <x:v>claude</x:v>
      </x:c>
      <x:c r="B12" t="str">
        <x:v>B</x:v>
      </x:c>
      <x:c r="C12" t="n">
        <x:f>COUNTIFS('Coded Runs'!$D$5:$D$100,A12,'Coded Runs'!$E$5:$E$100,B12)</x:f>
        <x:v>5</x:v>
      </x:c>
      <x:c r="D12" s="21" t="n">
        <x:f>IF(C12=0,0,SUMIFS('Coded Runs'!$P$5:$P$100,'Coded Runs'!$D$5:$D$100,A12,'Coded Runs'!$E$5:$E$100,B12)/C12)</x:f>
        <x:v>1</x:v>
      </x:c>
      <x:c r="E12" s="21" t="n">
        <x:f>IF(C12=0,0,SUMIFS('Coded Runs'!$Q$5:$Q$100,'Coded Runs'!$D$5:$D$100,A12,'Coded Runs'!$E$5:$E$100,B12)/C12)</x:f>
        <x:v>1</x:v>
      </x:c>
      <x:c r="F12" s="21" t="n">
        <x:f>IF(C12=0,0,SUMIFS('Coded Runs'!$R$5:$R$100,'Coded Runs'!$D$5:$D$100,A12,'Coded Runs'!$E$5:$E$100,B12)/C12)</x:f>
        <x:v>1</x:v>
      </x:c>
      <x:c r="G12" s="21" t="n">
        <x:f>IF(C12=0,0,SUMIFS('Coded Runs'!$S$5:$S$100,'Coded Runs'!$D$5:$D$100,A12,'Coded Runs'!$E$5:$E$100,B12)/C12)</x:f>
        <x:v>1</x:v>
      </x:c>
      <x:c r="H12" s="21" t="n">
        <x:f>IF(C12=0,0,SUMIFS('Coded Runs'!$T$5:$T$100,'Coded Runs'!$D$5:$D$100,A12,'Coded Runs'!$E$5:$E$100,B12)/C12)</x:f>
        <x:v>0</x:v>
      </x:c>
      <x:c r="I12" s="21" t="n">
        <x:f>IF(C12=0,0,SUMIFS('Coded Runs'!$X$5:$X$100,'Coded Runs'!$D$5:$D$100,A12,'Coded Runs'!$E$5:$E$100,B12)/C12)</x:f>
        <x:v>1</x:v>
      </x:c>
      <x:c r="J12" s="21" t="n">
        <x:f>IF(C12=0,0,SUMIFS('Coded Runs'!$Y$5:$Y$100,'Coded Runs'!$D$5:$D$100,A12,'Coded Runs'!$E$5:$E$100,B12)/C12)</x:f>
        <x:v>1</x:v>
      </x:c>
      <x:c r="K12" t="n">
        <x:f>SUMIFS('Coded Runs'!$Z$5:$Z$100,'Coded Runs'!$D$5:$D$100,A12,'Coded Runs'!$E$5:$E$100,B12)</x:f>
        <x:v>0</x:v>
      </x:c>
    </x:row>
    <x:row r="13">
      <x:c r="A13" t="str">
        <x:v>claude</x:v>
      </x:c>
      <x:c r="B13" t="str">
        <x:v>C</x:v>
      </x:c>
      <x:c r="C13" t="n">
        <x:f>COUNTIFS('Coded Runs'!$D$5:$D$100,A13,'Coded Runs'!$E$5:$E$100,B13)</x:f>
        <x:v>5</x:v>
      </x:c>
      <x:c r="D13" s="21" t="n">
        <x:f>IF(C13=0,0,SUMIFS('Coded Runs'!$P$5:$P$100,'Coded Runs'!$D$5:$D$100,A13,'Coded Runs'!$E$5:$E$100,B13)/C13)</x:f>
        <x:v>1</x:v>
      </x:c>
      <x:c r="E13" s="21" t="n">
        <x:f>IF(C13=0,0,SUMIFS('Coded Runs'!$Q$5:$Q$100,'Coded Runs'!$D$5:$D$100,A13,'Coded Runs'!$E$5:$E$100,B13)/C13)</x:f>
        <x:v>1</x:v>
      </x:c>
      <x:c r="F13" s="21" t="n">
        <x:f>IF(C13=0,0,SUMIFS('Coded Runs'!$R$5:$R$100,'Coded Runs'!$D$5:$D$100,A13,'Coded Runs'!$E$5:$E$100,B13)/C13)</x:f>
        <x:v>1</x:v>
      </x:c>
      <x:c r="G13" s="21" t="n">
        <x:f>IF(C13=0,0,SUMIFS('Coded Runs'!$S$5:$S$100,'Coded Runs'!$D$5:$D$100,A13,'Coded Runs'!$E$5:$E$100,B13)/C13)</x:f>
        <x:v>1</x:v>
      </x:c>
      <x:c r="H13" s="21" t="n">
        <x:f>IF(C13=0,0,SUMIFS('Coded Runs'!$T$5:$T$100,'Coded Runs'!$D$5:$D$100,A13,'Coded Runs'!$E$5:$E$100,B13)/C13)</x:f>
        <x:v>0</x:v>
      </x:c>
      <x:c r="I13" s="21" t="n">
        <x:f>IF(C13=0,0,SUMIFS('Coded Runs'!$X$5:$X$100,'Coded Runs'!$D$5:$D$100,A13,'Coded Runs'!$E$5:$E$100,B13)/C13)</x:f>
        <x:v>1</x:v>
      </x:c>
      <x:c r="J13" s="21" t="n">
        <x:f>IF(C13=0,0,SUMIFS('Coded Runs'!$Y$5:$Y$100,'Coded Runs'!$D$5:$D$100,A13,'Coded Runs'!$E$5:$E$100,B13)/C13)</x:f>
        <x:v>1</x:v>
      </x:c>
      <x:c r="K13" t="n">
        <x:f>SUMIFS('Coded Runs'!$Z$5:$Z$100,'Coded Runs'!$D$5:$D$100,A13,'Coded Runs'!$E$5:$E$100,B13)</x:f>
        <x:v>0</x:v>
      </x:c>
    </x:row>
    <x:row r="14">
      <x:c r="A14" t="str">
        <x:v>claude</x:v>
      </x:c>
      <x:c r="B14" t="str">
        <x:v>D</x:v>
      </x:c>
      <x:c r="C14" t="n">
        <x:f>COUNTIFS('Coded Runs'!$D$5:$D$100,A14,'Coded Runs'!$E$5:$E$100,B14)</x:f>
        <x:v>5</x:v>
      </x:c>
      <x:c r="D14" s="21" t="n">
        <x:f>IF(C14=0,0,SUMIFS('Coded Runs'!$P$5:$P$100,'Coded Runs'!$D$5:$D$100,A14,'Coded Runs'!$E$5:$E$100,B14)/C14)</x:f>
        <x:v>1</x:v>
      </x:c>
      <x:c r="E14" s="21" t="n">
        <x:f>IF(C14=0,0,SUMIFS('Coded Runs'!$Q$5:$Q$100,'Coded Runs'!$D$5:$D$100,A14,'Coded Runs'!$E$5:$E$100,B14)/C14)</x:f>
        <x:v>1</x:v>
      </x:c>
      <x:c r="F14" s="21" t="n">
        <x:f>IF(C14=0,0,SUMIFS('Coded Runs'!$R$5:$R$100,'Coded Runs'!$D$5:$D$100,A14,'Coded Runs'!$E$5:$E$100,B14)/C14)</x:f>
        <x:v>1</x:v>
      </x:c>
      <x:c r="G14" s="21" t="n">
        <x:f>IF(C14=0,0,SUMIFS('Coded Runs'!$S$5:$S$100,'Coded Runs'!$D$5:$D$100,A14,'Coded Runs'!$E$5:$E$100,B14)/C14)</x:f>
        <x:v>1</x:v>
      </x:c>
      <x:c r="H14" s="21" t="n">
        <x:f>IF(C14=0,0,SUMIFS('Coded Runs'!$T$5:$T$100,'Coded Runs'!$D$5:$D$100,A14,'Coded Runs'!$E$5:$E$100,B14)/C14)</x:f>
        <x:v>0</x:v>
      </x:c>
      <x:c r="I14" s="21" t="n">
        <x:f>IF(C14=0,0,SUMIFS('Coded Runs'!$X$5:$X$100,'Coded Runs'!$D$5:$D$100,A14,'Coded Runs'!$E$5:$E$100,B14)/C14)</x:f>
        <x:v>1</x:v>
      </x:c>
      <x:c r="J14" s="21" t="n">
        <x:f>IF(C14=0,0,SUMIFS('Coded Runs'!$Y$5:$Y$100,'Coded Runs'!$D$5:$D$100,A14,'Coded Runs'!$E$5:$E$100,B14)/C14)</x:f>
        <x:v>1</x:v>
      </x:c>
      <x:c r="K14" t="n">
        <x:f>SUMIFS('Coded Runs'!$Z$5:$Z$100,'Coded Runs'!$D$5:$D$100,A14,'Coded Runs'!$E$5:$E$100,B14)</x:f>
        <x:v>0</x:v>
      </x:c>
    </x:row>
    <x:row r="15">
      <x:c r="A15" t="str">
        <x:v>claude</x:v>
      </x:c>
      <x:c r="B15" t="str">
        <x:v>E</x:v>
      </x:c>
      <x:c r="C15" t="n">
        <x:f>COUNTIFS('Coded Runs'!$D$5:$D$100,A15,'Coded Runs'!$E$5:$E$100,B15)</x:f>
        <x:v>3</x:v>
      </x:c>
      <x:c r="D15" s="21" t="n">
        <x:f>IF(C15=0,0,SUMIFS('Coded Runs'!$P$5:$P$100,'Coded Runs'!$D$5:$D$100,A15,'Coded Runs'!$E$5:$E$100,B15)/C15)</x:f>
        <x:v>1</x:v>
      </x:c>
      <x:c r="E15" s="21" t="n">
        <x:f>IF(C15=0,0,SUMIFS('Coded Runs'!$Q$5:$Q$100,'Coded Runs'!$D$5:$D$100,A15,'Coded Runs'!$E$5:$E$100,B15)/C15)</x:f>
        <x:v>1</x:v>
      </x:c>
      <x:c r="F15" s="21" t="n">
        <x:f>IF(C15=0,0,SUMIFS('Coded Runs'!$R$5:$R$100,'Coded Runs'!$D$5:$D$100,A15,'Coded Runs'!$E$5:$E$100,B15)/C15)</x:f>
        <x:v>1</x:v>
      </x:c>
      <x:c r="G15" s="21" t="n">
        <x:f>IF(C15=0,0,SUMIFS('Coded Runs'!$S$5:$S$100,'Coded Runs'!$D$5:$D$100,A15,'Coded Runs'!$E$5:$E$100,B15)/C15)</x:f>
        <x:v>1</x:v>
      </x:c>
      <x:c r="H15" s="21" t="n">
        <x:f>IF(C15=0,0,SUMIFS('Coded Runs'!$T$5:$T$100,'Coded Runs'!$D$5:$D$100,A15,'Coded Runs'!$E$5:$E$100,B15)/C15)</x:f>
        <x:v>0</x:v>
      </x:c>
      <x:c r="I15" s="21" t="n">
        <x:f>IF(C15=0,0,SUMIFS('Coded Runs'!$X$5:$X$100,'Coded Runs'!$D$5:$D$100,A15,'Coded Runs'!$E$5:$E$100,B15)/C15)</x:f>
        <x:v>1</x:v>
      </x:c>
      <x:c r="J15" s="21" t="n">
        <x:f>IF(C15=0,0,SUMIFS('Coded Runs'!$Y$5:$Y$100,'Coded Runs'!$D$5:$D$100,A15,'Coded Runs'!$E$5:$E$100,B15)/C15)</x:f>
        <x:v>1</x:v>
      </x:c>
      <x:c r="K15" t="n">
        <x:f>SUMIFS('Coded Runs'!$Z$5:$Z$100,'Coded Runs'!$D$5:$D$100,A15,'Coded Runs'!$E$5:$E$100,B15)</x:f>
        <x:v>0</x:v>
      </x:c>
    </x:row>
    <x:row r="16">
      <x:c r="A16" t="str">
        <x:v>claude</x:v>
      </x:c>
      <x:c r="B16" t="str">
        <x:v>F</x:v>
      </x:c>
      <x:c r="C16" t="n">
        <x:f>COUNTIFS('Coded Runs'!$D$5:$D$100,A16,'Coded Runs'!$E$5:$E$100,B16)</x:f>
        <x:v>3</x:v>
      </x:c>
      <x:c r="D16" s="21" t="n">
        <x:f>IF(C16=0,0,SUMIFS('Coded Runs'!$P$5:$P$100,'Coded Runs'!$D$5:$D$100,A16,'Coded Runs'!$E$5:$E$100,B16)/C16)</x:f>
        <x:v>1</x:v>
      </x:c>
      <x:c r="E16" s="21" t="n">
        <x:f>IF(C16=0,0,SUMIFS('Coded Runs'!$Q$5:$Q$100,'Coded Runs'!$D$5:$D$100,A16,'Coded Runs'!$E$5:$E$100,B16)/C16)</x:f>
        <x:v>1</x:v>
      </x:c>
      <x:c r="F16" s="21" t="n">
        <x:f>IF(C16=0,0,SUMIFS('Coded Runs'!$R$5:$R$100,'Coded Runs'!$D$5:$D$100,A16,'Coded Runs'!$E$5:$E$100,B16)/C16)</x:f>
        <x:v>1</x:v>
      </x:c>
      <x:c r="G16" s="21" t="n">
        <x:f>IF(C16=0,0,SUMIFS('Coded Runs'!$S$5:$S$100,'Coded Runs'!$D$5:$D$100,A16,'Coded Runs'!$E$5:$E$100,B16)/C16)</x:f>
        <x:v>1</x:v>
      </x:c>
      <x:c r="H16" s="21" t="n">
        <x:f>IF(C16=0,0,SUMIFS('Coded Runs'!$T$5:$T$100,'Coded Runs'!$D$5:$D$100,A16,'Coded Runs'!$E$5:$E$100,B16)/C16)</x:f>
        <x:v>0</x:v>
      </x:c>
      <x:c r="I16" s="21" t="n">
        <x:f>IF(C16=0,0,SUMIFS('Coded Runs'!$X$5:$X$100,'Coded Runs'!$D$5:$D$100,A16,'Coded Runs'!$E$5:$E$100,B16)/C16)</x:f>
        <x:v>1</x:v>
      </x:c>
      <x:c r="J16" s="21" t="n">
        <x:f>IF(C16=0,0,SUMIFS('Coded Runs'!$Y$5:$Y$100,'Coded Runs'!$D$5:$D$100,A16,'Coded Runs'!$E$5:$E$100,B16)/C16)</x:f>
        <x:v>1</x:v>
      </x:c>
      <x:c r="K16" t="n">
        <x:f>SUMIFS('Coded Runs'!$Z$5:$Z$100,'Coded Runs'!$D$5:$D$100,A16,'Coded Runs'!$E$5:$E$100,B16)</x:f>
        <x:v>0</x:v>
      </x:c>
    </x:row>
    <x:row r="17">
      <x:c r="A17" t="str">
        <x:v>claude</x:v>
      </x:c>
      <x:c r="B17" t="str">
        <x:v>G</x:v>
      </x:c>
      <x:c r="C17" t="n">
        <x:f>COUNTIFS('Coded Runs'!$D$5:$D$100,A17,'Coded Runs'!$E$5:$E$100,B17)</x:f>
        <x:v>3</x:v>
      </x:c>
      <x:c r="D17" s="21" t="n">
        <x:f>IF(C17=0,0,SUMIFS('Coded Runs'!$P$5:$P$100,'Coded Runs'!$D$5:$D$100,A17,'Coded Runs'!$E$5:$E$100,B17)/C17)</x:f>
        <x:v>1</x:v>
      </x:c>
      <x:c r="E17" s="21" t="n">
        <x:f>IF(C17=0,0,SUMIFS('Coded Runs'!$Q$5:$Q$100,'Coded Runs'!$D$5:$D$100,A17,'Coded Runs'!$E$5:$E$100,B17)/C17)</x:f>
        <x:v>1</x:v>
      </x:c>
      <x:c r="F17" s="21" t="n">
        <x:f>IF(C17=0,0,SUMIFS('Coded Runs'!$R$5:$R$100,'Coded Runs'!$D$5:$D$100,A17,'Coded Runs'!$E$5:$E$100,B17)/C17)</x:f>
        <x:v>1</x:v>
      </x:c>
      <x:c r="G17" s="21" t="n">
        <x:f>IF(C17=0,0,SUMIFS('Coded Runs'!$S$5:$S$100,'Coded Runs'!$D$5:$D$100,A17,'Coded Runs'!$E$5:$E$100,B17)/C17)</x:f>
        <x:v>1</x:v>
      </x:c>
      <x:c r="H17" s="21" t="n">
        <x:f>IF(C17=0,0,SUMIFS('Coded Runs'!$T$5:$T$100,'Coded Runs'!$D$5:$D$100,A17,'Coded Runs'!$E$5:$E$100,B17)/C17)</x:f>
        <x:v>0</x:v>
      </x:c>
      <x:c r="I17" s="21" t="n">
        <x:f>IF(C17=0,0,SUMIFS('Coded Runs'!$X$5:$X$100,'Coded Runs'!$D$5:$D$100,A17,'Coded Runs'!$E$5:$E$100,B17)/C17)</x:f>
        <x:v>1</x:v>
      </x:c>
      <x:c r="J17" s="21" t="n">
        <x:f>IF(C17=0,0,SUMIFS('Coded Runs'!$Y$5:$Y$100,'Coded Runs'!$D$5:$D$100,A17,'Coded Runs'!$E$5:$E$100,B17)/C17)</x:f>
        <x:v>1</x:v>
      </x:c>
      <x:c r="K17" t="n">
        <x:f>SUMIFS('Coded Runs'!$Z$5:$Z$100,'Coded Runs'!$D$5:$D$100,A17,'Coded Runs'!$E$5:$E$100,B17)</x:f>
        <x:v>0</x:v>
      </x:c>
    </x:row>
    <x:row r="18">
      <x:c r="A18" t="str">
        <x:v>claude</x:v>
      </x:c>
      <x:c r="B18" t="str">
        <x:v>H</x:v>
      </x:c>
      <x:c r="C18" t="n">
        <x:f>COUNTIFS('Coded Runs'!$D$5:$D$100,A18,'Coded Runs'!$E$5:$E$100,B18)</x:f>
        <x:v>3</x:v>
      </x:c>
      <x:c r="D18" s="21" t="n">
        <x:f>IF(C18=0,0,SUMIFS('Coded Runs'!$P$5:$P$100,'Coded Runs'!$D$5:$D$100,A18,'Coded Runs'!$E$5:$E$100,B18)/C18)</x:f>
        <x:v>1</x:v>
      </x:c>
      <x:c r="E18" s="21" t="n">
        <x:f>IF(C18=0,0,SUMIFS('Coded Runs'!$Q$5:$Q$100,'Coded Runs'!$D$5:$D$100,A18,'Coded Runs'!$E$5:$E$100,B18)/C18)</x:f>
        <x:v>1</x:v>
      </x:c>
      <x:c r="F18" s="21" t="n">
        <x:f>IF(C18=0,0,SUMIFS('Coded Runs'!$R$5:$R$100,'Coded Runs'!$D$5:$D$100,A18,'Coded Runs'!$E$5:$E$100,B18)/C18)</x:f>
        <x:v>1</x:v>
      </x:c>
      <x:c r="G18" s="21" t="n">
        <x:f>IF(C18=0,0,SUMIFS('Coded Runs'!$S$5:$S$100,'Coded Runs'!$D$5:$D$100,A18,'Coded Runs'!$E$5:$E$100,B18)/C18)</x:f>
        <x:v>1</x:v>
      </x:c>
      <x:c r="H18" s="21" t="n">
        <x:f>IF(C18=0,0,SUMIFS('Coded Runs'!$T$5:$T$100,'Coded Runs'!$D$5:$D$100,A18,'Coded Runs'!$E$5:$E$100,B18)/C18)</x:f>
        <x:v>0</x:v>
      </x:c>
      <x:c r="I18" s="21" t="n">
        <x:f>IF(C18=0,0,SUMIFS('Coded Runs'!$X$5:$X$100,'Coded Runs'!$D$5:$D$100,A18,'Coded Runs'!$E$5:$E$100,B18)/C18)</x:f>
        <x:v>1</x:v>
      </x:c>
      <x:c r="J18" s="21" t="n">
        <x:f>IF(C18=0,0,SUMIFS('Coded Runs'!$Y$5:$Y$100,'Coded Runs'!$D$5:$D$100,A18,'Coded Runs'!$E$5:$E$100,B18)/C18)</x:f>
        <x:v>1</x:v>
      </x:c>
      <x:c r="K18" t="n">
        <x:f>SUMIFS('Coded Runs'!$Z$5:$Z$100,'Coded Runs'!$D$5:$D$100,A18,'Coded Runs'!$E$5:$E$100,B18)</x:f>
        <x:v>0</x:v>
      </x:c>
    </x:row>
    <x:row r="19">
      <x:c r="A19" t="str">
        <x:v>mistral</x:v>
      </x:c>
      <x:c r="B19" t="str">
        <x:v>A</x:v>
      </x:c>
      <x:c r="C19" t="n">
        <x:f>COUNTIFS('Coded Runs'!$D$5:$D$100,A19,'Coded Runs'!$E$5:$E$100,B19)</x:f>
        <x:v>5</x:v>
      </x:c>
      <x:c r="D19" s="21" t="n">
        <x:f>IF(C19=0,0,SUMIFS('Coded Runs'!$P$5:$P$100,'Coded Runs'!$D$5:$D$100,A19,'Coded Runs'!$E$5:$E$100,B19)/C19)</x:f>
        <x:v>1</x:v>
      </x:c>
      <x:c r="E19" s="21" t="n">
        <x:f>IF(C19=0,0,SUMIFS('Coded Runs'!$Q$5:$Q$100,'Coded Runs'!$D$5:$D$100,A19,'Coded Runs'!$E$5:$E$100,B19)/C19)</x:f>
        <x:v>1</x:v>
      </x:c>
      <x:c r="F19" s="21" t="n">
        <x:f>IF(C19=0,0,SUMIFS('Coded Runs'!$R$5:$R$100,'Coded Runs'!$D$5:$D$100,A19,'Coded Runs'!$E$5:$E$100,B19)/C19)</x:f>
        <x:v>1</x:v>
      </x:c>
      <x:c r="G19" s="21" t="n">
        <x:f>IF(C19=0,0,SUMIFS('Coded Runs'!$S$5:$S$100,'Coded Runs'!$D$5:$D$100,A19,'Coded Runs'!$E$5:$E$100,B19)/C19)</x:f>
        <x:v>1</x:v>
      </x:c>
      <x:c r="H19" s="21" t="n">
        <x:f>IF(C19=0,0,SUMIFS('Coded Runs'!$T$5:$T$100,'Coded Runs'!$D$5:$D$100,A19,'Coded Runs'!$E$5:$E$100,B19)/C19)</x:f>
        <x:v>0</x:v>
      </x:c>
      <x:c r="I19" s="21" t="n">
        <x:f>IF(C19=0,0,SUMIFS('Coded Runs'!$X$5:$X$100,'Coded Runs'!$D$5:$D$100,A19,'Coded Runs'!$E$5:$E$100,B19)/C19)</x:f>
        <x:v>1</x:v>
      </x:c>
      <x:c r="J19" s="21" t="n">
        <x:f>IF(C19=0,0,SUMIFS('Coded Runs'!$Y$5:$Y$100,'Coded Runs'!$D$5:$D$100,A19,'Coded Runs'!$E$5:$E$100,B19)/C19)</x:f>
        <x:v>1</x:v>
      </x:c>
      <x:c r="K19" t="n">
        <x:f>SUMIFS('Coded Runs'!$Z$5:$Z$100,'Coded Runs'!$D$5:$D$100,A19,'Coded Runs'!$E$5:$E$100,B19)</x:f>
        <x:v>0</x:v>
      </x:c>
    </x:row>
    <x:row r="20">
      <x:c r="A20" t="str">
        <x:v>mistral</x:v>
      </x:c>
      <x:c r="B20" t="str">
        <x:v>B</x:v>
      </x:c>
      <x:c r="C20" t="n">
        <x:f>COUNTIFS('Coded Runs'!$D$5:$D$100,A20,'Coded Runs'!$E$5:$E$100,B20)</x:f>
        <x:v>5</x:v>
      </x:c>
      <x:c r="D20" s="21" t="n">
        <x:f>IF(C20=0,0,SUMIFS('Coded Runs'!$P$5:$P$100,'Coded Runs'!$D$5:$D$100,A20,'Coded Runs'!$E$5:$E$100,B20)/C20)</x:f>
        <x:v>1</x:v>
      </x:c>
      <x:c r="E20" s="21" t="n">
        <x:f>IF(C20=0,0,SUMIFS('Coded Runs'!$Q$5:$Q$100,'Coded Runs'!$D$5:$D$100,A20,'Coded Runs'!$E$5:$E$100,B20)/C20)</x:f>
        <x:v>1</x:v>
      </x:c>
      <x:c r="F20" s="21" t="n">
        <x:f>IF(C20=0,0,SUMIFS('Coded Runs'!$R$5:$R$100,'Coded Runs'!$D$5:$D$100,A20,'Coded Runs'!$E$5:$E$100,B20)/C20)</x:f>
        <x:v>1</x:v>
      </x:c>
      <x:c r="G20" s="21" t="n">
        <x:f>IF(C20=0,0,SUMIFS('Coded Runs'!$S$5:$S$100,'Coded Runs'!$D$5:$D$100,A20,'Coded Runs'!$E$5:$E$100,B20)/C20)</x:f>
        <x:v>1</x:v>
      </x:c>
      <x:c r="H20" s="21" t="n">
        <x:f>IF(C20=0,0,SUMIFS('Coded Runs'!$T$5:$T$100,'Coded Runs'!$D$5:$D$100,A20,'Coded Runs'!$E$5:$E$100,B20)/C20)</x:f>
        <x:v>0</x:v>
      </x:c>
      <x:c r="I20" s="21" t="n">
        <x:f>IF(C20=0,0,SUMIFS('Coded Runs'!$X$5:$X$100,'Coded Runs'!$D$5:$D$100,A20,'Coded Runs'!$E$5:$E$100,B20)/C20)</x:f>
        <x:v>1</x:v>
      </x:c>
      <x:c r="J20" s="21" t="n">
        <x:f>IF(C20=0,0,SUMIFS('Coded Runs'!$Y$5:$Y$100,'Coded Runs'!$D$5:$D$100,A20,'Coded Runs'!$E$5:$E$100,B20)/C20)</x:f>
        <x:v>1</x:v>
      </x:c>
      <x:c r="K20" t="n">
        <x:f>SUMIFS('Coded Runs'!$Z$5:$Z$100,'Coded Runs'!$D$5:$D$100,A20,'Coded Runs'!$E$5:$E$100,B20)</x:f>
        <x:v>0</x:v>
      </x:c>
    </x:row>
    <x:row r="21">
      <x:c r="A21" t="str">
        <x:v>mistral</x:v>
      </x:c>
      <x:c r="B21" t="str">
        <x:v>C</x:v>
      </x:c>
      <x:c r="C21" t="n">
        <x:f>COUNTIFS('Coded Runs'!$D$5:$D$100,A21,'Coded Runs'!$E$5:$E$100,B21)</x:f>
        <x:v>5</x:v>
      </x:c>
      <x:c r="D21" s="21" t="n">
        <x:f>IF(C21=0,0,SUMIFS('Coded Runs'!$P$5:$P$100,'Coded Runs'!$D$5:$D$100,A21,'Coded Runs'!$E$5:$E$100,B21)/C21)</x:f>
        <x:v>1</x:v>
      </x:c>
      <x:c r="E21" s="21" t="n">
        <x:f>IF(C21=0,0,SUMIFS('Coded Runs'!$Q$5:$Q$100,'Coded Runs'!$D$5:$D$100,A21,'Coded Runs'!$E$5:$E$100,B21)/C21)</x:f>
        <x:v>1</x:v>
      </x:c>
      <x:c r="F21" s="21" t="n">
        <x:f>IF(C21=0,0,SUMIFS('Coded Runs'!$R$5:$R$100,'Coded Runs'!$D$5:$D$100,A21,'Coded Runs'!$E$5:$E$100,B21)/C21)</x:f>
        <x:v>1</x:v>
      </x:c>
      <x:c r="G21" s="21" t="n">
        <x:f>IF(C21=0,0,SUMIFS('Coded Runs'!$S$5:$S$100,'Coded Runs'!$D$5:$D$100,A21,'Coded Runs'!$E$5:$E$100,B21)/C21)</x:f>
        <x:v>1</x:v>
      </x:c>
      <x:c r="H21" s="21" t="n">
        <x:f>IF(C21=0,0,SUMIFS('Coded Runs'!$T$5:$T$100,'Coded Runs'!$D$5:$D$100,A21,'Coded Runs'!$E$5:$E$100,B21)/C21)</x:f>
        <x:v>0</x:v>
      </x:c>
      <x:c r="I21" s="21" t="n">
        <x:f>IF(C21=0,0,SUMIFS('Coded Runs'!$X$5:$X$100,'Coded Runs'!$D$5:$D$100,A21,'Coded Runs'!$E$5:$E$100,B21)/C21)</x:f>
        <x:v>1</x:v>
      </x:c>
      <x:c r="J21" s="21" t="n">
        <x:f>IF(C21=0,0,SUMIFS('Coded Runs'!$Y$5:$Y$100,'Coded Runs'!$D$5:$D$100,A21,'Coded Runs'!$E$5:$E$100,B21)/C21)</x:f>
        <x:v>1</x:v>
      </x:c>
      <x:c r="K21" t="n">
        <x:f>SUMIFS('Coded Runs'!$Z$5:$Z$100,'Coded Runs'!$D$5:$D$100,A21,'Coded Runs'!$E$5:$E$100,B21)</x:f>
        <x:v>1</x:v>
      </x:c>
    </x:row>
    <x:row r="22">
      <x:c r="A22" t="str">
        <x:v>mistral</x:v>
      </x:c>
      <x:c r="B22" t="str">
        <x:v>D</x:v>
      </x:c>
      <x:c r="C22" t="n">
        <x:f>COUNTIFS('Coded Runs'!$D$5:$D$100,A22,'Coded Runs'!$E$5:$E$100,B22)</x:f>
        <x:v>5</x:v>
      </x:c>
      <x:c r="D22" s="21" t="n">
        <x:f>IF(C22=0,0,SUMIFS('Coded Runs'!$P$5:$P$100,'Coded Runs'!$D$5:$D$100,A22,'Coded Runs'!$E$5:$E$100,B22)/C22)</x:f>
        <x:v>1</x:v>
      </x:c>
      <x:c r="E22" s="21" t="n">
        <x:f>IF(C22=0,0,SUMIFS('Coded Runs'!$Q$5:$Q$100,'Coded Runs'!$D$5:$D$100,A22,'Coded Runs'!$E$5:$E$100,B22)/C22)</x:f>
        <x:v>1</x:v>
      </x:c>
      <x:c r="F22" s="21" t="n">
        <x:f>IF(C22=0,0,SUMIFS('Coded Runs'!$R$5:$R$100,'Coded Runs'!$D$5:$D$100,A22,'Coded Runs'!$E$5:$E$100,B22)/C22)</x:f>
        <x:v>1</x:v>
      </x:c>
      <x:c r="G22" s="21" t="n">
        <x:f>IF(C22=0,0,SUMIFS('Coded Runs'!$S$5:$S$100,'Coded Runs'!$D$5:$D$100,A22,'Coded Runs'!$E$5:$E$100,B22)/C22)</x:f>
        <x:v>1</x:v>
      </x:c>
      <x:c r="H22" s="21" t="n">
        <x:f>IF(C22=0,0,SUMIFS('Coded Runs'!$T$5:$T$100,'Coded Runs'!$D$5:$D$100,A22,'Coded Runs'!$E$5:$E$100,B22)/C22)</x:f>
        <x:v>0</x:v>
      </x:c>
      <x:c r="I22" s="21" t="n">
        <x:f>IF(C22=0,0,SUMIFS('Coded Runs'!$X$5:$X$100,'Coded Runs'!$D$5:$D$100,A22,'Coded Runs'!$E$5:$E$100,B22)/C22)</x:f>
        <x:v>1</x:v>
      </x:c>
      <x:c r="J22" s="21" t="n">
        <x:f>IF(C22=0,0,SUMIFS('Coded Runs'!$Y$5:$Y$100,'Coded Runs'!$D$5:$D$100,A22,'Coded Runs'!$E$5:$E$100,B22)/C22)</x:f>
        <x:v>1</x:v>
      </x:c>
      <x:c r="K22" t="n">
        <x:f>SUMIFS('Coded Runs'!$Z$5:$Z$100,'Coded Runs'!$D$5:$D$100,A22,'Coded Runs'!$E$5:$E$100,B22)</x:f>
        <x:v>0</x:v>
      </x:c>
    </x:row>
    <x:row r="23">
      <x:c r="A23" t="str">
        <x:v>mistral</x:v>
      </x:c>
      <x:c r="B23" t="str">
        <x:v>E</x:v>
      </x:c>
      <x:c r="C23" t="n">
        <x:f>COUNTIFS('Coded Runs'!$D$5:$D$100,A23,'Coded Runs'!$E$5:$E$100,B23)</x:f>
        <x:v>3</x:v>
      </x:c>
      <x:c r="D23" s="21" t="n">
        <x:f>IF(C23=0,0,SUMIFS('Coded Runs'!$P$5:$P$100,'Coded Runs'!$D$5:$D$100,A23,'Coded Runs'!$E$5:$E$100,B23)/C23)</x:f>
        <x:v>1</x:v>
      </x:c>
      <x:c r="E23" s="21" t="n">
        <x:f>IF(C23=0,0,SUMIFS('Coded Runs'!$Q$5:$Q$100,'Coded Runs'!$D$5:$D$100,A23,'Coded Runs'!$E$5:$E$100,B23)/C23)</x:f>
        <x:v>1</x:v>
      </x:c>
      <x:c r="F23" s="21" t="n">
        <x:f>IF(C23=0,0,SUMIFS('Coded Runs'!$R$5:$R$100,'Coded Runs'!$D$5:$D$100,A23,'Coded Runs'!$E$5:$E$100,B23)/C23)</x:f>
        <x:v>1</x:v>
      </x:c>
      <x:c r="G23" s="21" t="n">
        <x:f>IF(C23=0,0,SUMIFS('Coded Runs'!$S$5:$S$100,'Coded Runs'!$D$5:$D$100,A23,'Coded Runs'!$E$5:$E$100,B23)/C23)</x:f>
        <x:v>1</x:v>
      </x:c>
      <x:c r="H23" s="21" t="n">
        <x:f>IF(C23=0,0,SUMIFS('Coded Runs'!$T$5:$T$100,'Coded Runs'!$D$5:$D$100,A23,'Coded Runs'!$E$5:$E$100,B23)/C23)</x:f>
        <x:v>0</x:v>
      </x:c>
      <x:c r="I23" s="21" t="n">
        <x:f>IF(C23=0,0,SUMIFS('Coded Runs'!$X$5:$X$100,'Coded Runs'!$D$5:$D$100,A23,'Coded Runs'!$E$5:$E$100,B23)/C23)</x:f>
        <x:v>1</x:v>
      </x:c>
      <x:c r="J23" s="21" t="n">
        <x:f>IF(C23=0,0,SUMIFS('Coded Runs'!$Y$5:$Y$100,'Coded Runs'!$D$5:$D$100,A23,'Coded Runs'!$E$5:$E$100,B23)/C23)</x:f>
        <x:v>1</x:v>
      </x:c>
      <x:c r="K23" t="n">
        <x:f>SUMIFS('Coded Runs'!$Z$5:$Z$100,'Coded Runs'!$D$5:$D$100,A23,'Coded Runs'!$E$5:$E$100,B23)</x:f>
        <x:v>0</x:v>
      </x:c>
    </x:row>
    <x:row r="24">
      <x:c r="A24" t="str">
        <x:v>mistral</x:v>
      </x:c>
      <x:c r="B24" t="str">
        <x:v>F</x:v>
      </x:c>
      <x:c r="C24" t="n">
        <x:f>COUNTIFS('Coded Runs'!$D$5:$D$100,A24,'Coded Runs'!$E$5:$E$100,B24)</x:f>
        <x:v>3</x:v>
      </x:c>
      <x:c r="D24" s="21" t="n">
        <x:f>IF(C24=0,0,SUMIFS('Coded Runs'!$P$5:$P$100,'Coded Runs'!$D$5:$D$100,A24,'Coded Runs'!$E$5:$E$100,B24)/C24)</x:f>
        <x:v>1</x:v>
      </x:c>
      <x:c r="E24" s="21" t="n">
        <x:f>IF(C24=0,0,SUMIFS('Coded Runs'!$Q$5:$Q$100,'Coded Runs'!$D$5:$D$100,A24,'Coded Runs'!$E$5:$E$100,B24)/C24)</x:f>
        <x:v>1</x:v>
      </x:c>
      <x:c r="F24" s="21" t="n">
        <x:f>IF(C24=0,0,SUMIFS('Coded Runs'!$R$5:$R$100,'Coded Runs'!$D$5:$D$100,A24,'Coded Runs'!$E$5:$E$100,B24)/C24)</x:f>
        <x:v>1</x:v>
      </x:c>
      <x:c r="G24" s="21" t="n">
        <x:f>IF(C24=0,0,SUMIFS('Coded Runs'!$S$5:$S$100,'Coded Runs'!$D$5:$D$100,A24,'Coded Runs'!$E$5:$E$100,B24)/C24)</x:f>
        <x:v>1</x:v>
      </x:c>
      <x:c r="H24" s="21" t="n">
        <x:f>IF(C24=0,0,SUMIFS('Coded Runs'!$T$5:$T$100,'Coded Runs'!$D$5:$D$100,A24,'Coded Runs'!$E$5:$E$100,B24)/C24)</x:f>
        <x:v>0</x:v>
      </x:c>
      <x:c r="I24" s="21" t="n">
        <x:f>IF(C24=0,0,SUMIFS('Coded Runs'!$X$5:$X$100,'Coded Runs'!$D$5:$D$100,A24,'Coded Runs'!$E$5:$E$100,B24)/C24)</x:f>
        <x:v>1</x:v>
      </x:c>
      <x:c r="J24" s="21" t="n">
        <x:f>IF(C24=0,0,SUMIFS('Coded Runs'!$Y$5:$Y$100,'Coded Runs'!$D$5:$D$100,A24,'Coded Runs'!$E$5:$E$100,B24)/C24)</x:f>
        <x:v>1</x:v>
      </x:c>
      <x:c r="K24" t="n">
        <x:f>SUMIFS('Coded Runs'!$Z$5:$Z$100,'Coded Runs'!$D$5:$D$100,A24,'Coded Runs'!$E$5:$E$100,B24)</x:f>
        <x:v>0</x:v>
      </x:c>
    </x:row>
    <x:row r="25">
      <x:c r="A25" t="str">
        <x:v>mistral</x:v>
      </x:c>
      <x:c r="B25" t="str">
        <x:v>G</x:v>
      </x:c>
      <x:c r="C25" t="n">
        <x:f>COUNTIFS('Coded Runs'!$D$5:$D$100,A25,'Coded Runs'!$E$5:$E$100,B25)</x:f>
        <x:v>3</x:v>
      </x:c>
      <x:c r="D25" s="21" t="n">
        <x:f>IF(C25=0,0,SUMIFS('Coded Runs'!$P$5:$P$100,'Coded Runs'!$D$5:$D$100,A25,'Coded Runs'!$E$5:$E$100,B25)/C25)</x:f>
        <x:v>1</x:v>
      </x:c>
      <x:c r="E25" s="21" t="n">
        <x:f>IF(C25=0,0,SUMIFS('Coded Runs'!$Q$5:$Q$100,'Coded Runs'!$D$5:$D$100,A25,'Coded Runs'!$E$5:$E$100,B25)/C25)</x:f>
        <x:v>1</x:v>
      </x:c>
      <x:c r="F25" s="21" t="n">
        <x:f>IF(C25=0,0,SUMIFS('Coded Runs'!$R$5:$R$100,'Coded Runs'!$D$5:$D$100,A25,'Coded Runs'!$E$5:$E$100,B25)/C25)</x:f>
        <x:v>1</x:v>
      </x:c>
      <x:c r="G25" s="21" t="n">
        <x:f>IF(C25=0,0,SUMIFS('Coded Runs'!$S$5:$S$100,'Coded Runs'!$D$5:$D$100,A25,'Coded Runs'!$E$5:$E$100,B25)/C25)</x:f>
        <x:v>1</x:v>
      </x:c>
      <x:c r="H25" s="21" t="n">
        <x:f>IF(C25=0,0,SUMIFS('Coded Runs'!$T$5:$T$100,'Coded Runs'!$D$5:$D$100,A25,'Coded Runs'!$E$5:$E$100,B25)/C25)</x:f>
        <x:v>0</x:v>
      </x:c>
      <x:c r="I25" s="21" t="n">
        <x:f>IF(C25=0,0,SUMIFS('Coded Runs'!$X$5:$X$100,'Coded Runs'!$D$5:$D$100,A25,'Coded Runs'!$E$5:$E$100,B25)/C25)</x:f>
        <x:v>1</x:v>
      </x:c>
      <x:c r="J25" s="21" t="n">
        <x:f>IF(C25=0,0,SUMIFS('Coded Runs'!$Y$5:$Y$100,'Coded Runs'!$D$5:$D$100,A25,'Coded Runs'!$E$5:$E$100,B25)/C25)</x:f>
        <x:v>1</x:v>
      </x:c>
      <x:c r="K25" t="n">
        <x:f>SUMIFS('Coded Runs'!$Z$5:$Z$100,'Coded Runs'!$D$5:$D$100,A25,'Coded Runs'!$E$5:$E$100,B25)</x:f>
        <x:v>0</x:v>
      </x:c>
    </x:row>
    <x:row r="26">
      <x:c r="A26" t="str">
        <x:v>mistral</x:v>
      </x:c>
      <x:c r="B26" t="str">
        <x:v>H</x:v>
      </x:c>
      <x:c r="C26" t="n">
        <x:f>COUNTIFS('Coded Runs'!$D$5:$D$100,A26,'Coded Runs'!$E$5:$E$100,B26)</x:f>
        <x:v>3</x:v>
      </x:c>
      <x:c r="D26" s="21" t="n">
        <x:f>IF(C26=0,0,SUMIFS('Coded Runs'!$P$5:$P$100,'Coded Runs'!$D$5:$D$100,A26,'Coded Runs'!$E$5:$E$100,B26)/C26)</x:f>
        <x:v>1</x:v>
      </x:c>
      <x:c r="E26" s="21" t="n">
        <x:f>IF(C26=0,0,SUMIFS('Coded Runs'!$Q$5:$Q$100,'Coded Runs'!$D$5:$D$100,A26,'Coded Runs'!$E$5:$E$100,B26)/C26)</x:f>
        <x:v>1</x:v>
      </x:c>
      <x:c r="F26" s="21" t="n">
        <x:f>IF(C26=0,0,SUMIFS('Coded Runs'!$R$5:$R$100,'Coded Runs'!$D$5:$D$100,A26,'Coded Runs'!$E$5:$E$100,B26)/C26)</x:f>
        <x:v>1</x:v>
      </x:c>
      <x:c r="G26" s="21" t="n">
        <x:f>IF(C26=0,0,SUMIFS('Coded Runs'!$S$5:$S$100,'Coded Runs'!$D$5:$D$100,A26,'Coded Runs'!$E$5:$E$100,B26)/C26)</x:f>
        <x:v>1</x:v>
      </x:c>
      <x:c r="H26" s="21" t="n">
        <x:f>IF(C26=0,0,SUMIFS('Coded Runs'!$T$5:$T$100,'Coded Runs'!$D$5:$D$100,A26,'Coded Runs'!$E$5:$E$100,B26)/C26)</x:f>
        <x:v>0</x:v>
      </x:c>
      <x:c r="I26" s="21" t="n">
        <x:f>IF(C26=0,0,SUMIFS('Coded Runs'!$X$5:$X$100,'Coded Runs'!$D$5:$D$100,A26,'Coded Runs'!$E$5:$E$100,B26)/C26)</x:f>
        <x:v>1</x:v>
      </x:c>
      <x:c r="J26" s="21" t="n">
        <x:f>IF(C26=0,0,SUMIFS('Coded Runs'!$Y$5:$Y$100,'Coded Runs'!$D$5:$D$100,A26,'Coded Runs'!$E$5:$E$100,B26)/C26)</x:f>
        <x:v>1</x:v>
      </x:c>
      <x:c r="K26" t="n">
        <x:f>SUMIFS('Coded Runs'!$Z$5:$Z$100,'Coded Runs'!$D$5:$D$100,A26,'Coded Runs'!$E$5:$E$100,B26)</x:f>
        <x:v>0</x:v>
      </x:c>
    </x:row>
    <x:row r="27">
      <x:c r="A27" t="str">
        <x:v>deepseek</x:v>
      </x:c>
      <x:c r="B27" t="str">
        <x:v>A</x:v>
      </x:c>
      <x:c r="C27" t="n">
        <x:f>COUNTIFS('Coded Runs'!$D$5:$D$100,A27,'Coded Runs'!$E$5:$E$100,B27)</x:f>
        <x:v>5</x:v>
      </x:c>
      <x:c r="D27" s="21" t="n">
        <x:f>IF(C27=0,0,SUMIFS('Coded Runs'!$P$5:$P$100,'Coded Runs'!$D$5:$D$100,A27,'Coded Runs'!$E$5:$E$100,B27)/C27)</x:f>
        <x:v>1</x:v>
      </x:c>
      <x:c r="E27" s="21" t="n">
        <x:f>IF(C27=0,0,SUMIFS('Coded Runs'!$Q$5:$Q$100,'Coded Runs'!$D$5:$D$100,A27,'Coded Runs'!$E$5:$E$100,B27)/C27)</x:f>
        <x:v>1</x:v>
      </x:c>
      <x:c r="F27" s="21" t="n">
        <x:f>IF(C27=0,0,SUMIFS('Coded Runs'!$R$5:$R$100,'Coded Runs'!$D$5:$D$100,A27,'Coded Runs'!$E$5:$E$100,B27)/C27)</x:f>
        <x:v>1</x:v>
      </x:c>
      <x:c r="G27" s="21" t="n">
        <x:f>IF(C27=0,0,SUMIFS('Coded Runs'!$S$5:$S$100,'Coded Runs'!$D$5:$D$100,A27,'Coded Runs'!$E$5:$E$100,B27)/C27)</x:f>
        <x:v>1</x:v>
      </x:c>
      <x:c r="H27" s="21" t="n">
        <x:f>IF(C27=0,0,SUMIFS('Coded Runs'!$T$5:$T$100,'Coded Runs'!$D$5:$D$100,A27,'Coded Runs'!$E$5:$E$100,B27)/C27)</x:f>
        <x:v>0</x:v>
      </x:c>
      <x:c r="I27" s="21" t="n">
        <x:f>IF(C27=0,0,SUMIFS('Coded Runs'!$X$5:$X$100,'Coded Runs'!$D$5:$D$100,A27,'Coded Runs'!$E$5:$E$100,B27)/C27)</x:f>
        <x:v>1</x:v>
      </x:c>
      <x:c r="J27" s="21" t="n">
        <x:f>IF(C27=0,0,SUMIFS('Coded Runs'!$Y$5:$Y$100,'Coded Runs'!$D$5:$D$100,A27,'Coded Runs'!$E$5:$E$100,B27)/C27)</x:f>
        <x:v>1</x:v>
      </x:c>
      <x:c r="K27" t="n">
        <x:f>SUMIFS('Coded Runs'!$Z$5:$Z$100,'Coded Runs'!$D$5:$D$100,A27,'Coded Runs'!$E$5:$E$100,B27)</x:f>
        <x:v>0</x:v>
      </x:c>
    </x:row>
    <x:row r="28">
      <x:c r="A28" t="str">
        <x:v>deepseek</x:v>
      </x:c>
      <x:c r="B28" t="str">
        <x:v>B</x:v>
      </x:c>
      <x:c r="C28" t="n">
        <x:f>COUNTIFS('Coded Runs'!$D$5:$D$100,A28,'Coded Runs'!$E$5:$E$100,B28)</x:f>
        <x:v>5</x:v>
      </x:c>
      <x:c r="D28" s="21" t="n">
        <x:f>IF(C28=0,0,SUMIFS('Coded Runs'!$P$5:$P$100,'Coded Runs'!$D$5:$D$100,A28,'Coded Runs'!$E$5:$E$100,B28)/C28)</x:f>
        <x:v>1</x:v>
      </x:c>
      <x:c r="E28" s="21" t="n">
        <x:f>IF(C28=0,0,SUMIFS('Coded Runs'!$Q$5:$Q$100,'Coded Runs'!$D$5:$D$100,A28,'Coded Runs'!$E$5:$E$100,B28)/C28)</x:f>
        <x:v>1</x:v>
      </x:c>
      <x:c r="F28" s="21" t="n">
        <x:f>IF(C28=0,0,SUMIFS('Coded Runs'!$R$5:$R$100,'Coded Runs'!$D$5:$D$100,A28,'Coded Runs'!$E$5:$E$100,B28)/C28)</x:f>
        <x:v>1</x:v>
      </x:c>
      <x:c r="G28" s="21" t="n">
        <x:f>IF(C28=0,0,SUMIFS('Coded Runs'!$S$5:$S$100,'Coded Runs'!$D$5:$D$100,A28,'Coded Runs'!$E$5:$E$100,B28)/C28)</x:f>
        <x:v>1</x:v>
      </x:c>
      <x:c r="H28" s="21" t="n">
        <x:f>IF(C28=0,0,SUMIFS('Coded Runs'!$T$5:$T$100,'Coded Runs'!$D$5:$D$100,A28,'Coded Runs'!$E$5:$E$100,B28)/C28)</x:f>
        <x:v>0</x:v>
      </x:c>
      <x:c r="I28" s="21" t="n">
        <x:f>IF(C28=0,0,SUMIFS('Coded Runs'!$X$5:$X$100,'Coded Runs'!$D$5:$D$100,A28,'Coded Runs'!$E$5:$E$100,B28)/C28)</x:f>
        <x:v>1</x:v>
      </x:c>
      <x:c r="J28" s="21" t="n">
        <x:f>IF(C28=0,0,SUMIFS('Coded Runs'!$Y$5:$Y$100,'Coded Runs'!$D$5:$D$100,A28,'Coded Runs'!$E$5:$E$100,B28)/C28)</x:f>
        <x:v>1</x:v>
      </x:c>
      <x:c r="K28" t="n">
        <x:f>SUMIFS('Coded Runs'!$Z$5:$Z$100,'Coded Runs'!$D$5:$D$100,A28,'Coded Runs'!$E$5:$E$100,B28)</x:f>
        <x:v>0</x:v>
      </x:c>
    </x:row>
    <x:row r="29">
      <x:c r="A29" t="str">
        <x:v>deepseek</x:v>
      </x:c>
      <x:c r="B29" t="str">
        <x:v>C</x:v>
      </x:c>
      <x:c r="C29" t="n">
        <x:f>COUNTIFS('Coded Runs'!$D$5:$D$100,A29,'Coded Runs'!$E$5:$E$100,B29)</x:f>
        <x:v>5</x:v>
      </x:c>
      <x:c r="D29" s="21" t="n">
        <x:f>IF(C29=0,0,SUMIFS('Coded Runs'!$P$5:$P$100,'Coded Runs'!$D$5:$D$100,A29,'Coded Runs'!$E$5:$E$100,B29)/C29)</x:f>
        <x:v>1</x:v>
      </x:c>
      <x:c r="E29" s="21" t="n">
        <x:f>IF(C29=0,0,SUMIFS('Coded Runs'!$Q$5:$Q$100,'Coded Runs'!$D$5:$D$100,A29,'Coded Runs'!$E$5:$E$100,B29)/C29)</x:f>
        <x:v>1</x:v>
      </x:c>
      <x:c r="F29" s="21" t="n">
        <x:f>IF(C29=0,0,SUMIFS('Coded Runs'!$R$5:$R$100,'Coded Runs'!$D$5:$D$100,A29,'Coded Runs'!$E$5:$E$100,B29)/C29)</x:f>
        <x:v>1</x:v>
      </x:c>
      <x:c r="G29" s="21" t="n">
        <x:f>IF(C29=0,0,SUMIFS('Coded Runs'!$S$5:$S$100,'Coded Runs'!$D$5:$D$100,A29,'Coded Runs'!$E$5:$E$100,B29)/C29)</x:f>
        <x:v>1</x:v>
      </x:c>
      <x:c r="H29" s="21" t="n">
        <x:f>IF(C29=0,0,SUMIFS('Coded Runs'!$T$5:$T$100,'Coded Runs'!$D$5:$D$100,A29,'Coded Runs'!$E$5:$E$100,B29)/C29)</x:f>
        <x:v>0</x:v>
      </x:c>
      <x:c r="I29" s="21" t="n">
        <x:f>IF(C29=0,0,SUMIFS('Coded Runs'!$X$5:$X$100,'Coded Runs'!$D$5:$D$100,A29,'Coded Runs'!$E$5:$E$100,B29)/C29)</x:f>
        <x:v>1</x:v>
      </x:c>
      <x:c r="J29" s="21" t="n">
        <x:f>IF(C29=0,0,SUMIFS('Coded Runs'!$Y$5:$Y$100,'Coded Runs'!$D$5:$D$100,A29,'Coded Runs'!$E$5:$E$100,B29)/C29)</x:f>
        <x:v>1</x:v>
      </x:c>
      <x:c r="K29" t="n">
        <x:f>SUMIFS('Coded Runs'!$Z$5:$Z$100,'Coded Runs'!$D$5:$D$100,A29,'Coded Runs'!$E$5:$E$100,B29)</x:f>
        <x:v>0</x:v>
      </x:c>
    </x:row>
    <x:row r="30">
      <x:c r="A30" t="str">
        <x:v>deepseek</x:v>
      </x:c>
      <x:c r="B30" t="str">
        <x:v>D</x:v>
      </x:c>
      <x:c r="C30" t="n">
        <x:f>COUNTIFS('Coded Runs'!$D$5:$D$100,A30,'Coded Runs'!$E$5:$E$100,B30)</x:f>
        <x:v>5</x:v>
      </x:c>
      <x:c r="D30" s="21" t="n">
        <x:f>IF(C30=0,0,SUMIFS('Coded Runs'!$P$5:$P$100,'Coded Runs'!$D$5:$D$100,A30,'Coded Runs'!$E$5:$E$100,B30)/C30)</x:f>
        <x:v>1</x:v>
      </x:c>
      <x:c r="E30" s="21" t="n">
        <x:f>IF(C30=0,0,SUMIFS('Coded Runs'!$Q$5:$Q$100,'Coded Runs'!$D$5:$D$100,A30,'Coded Runs'!$E$5:$E$100,B30)/C30)</x:f>
        <x:v>1</x:v>
      </x:c>
      <x:c r="F30" s="21" t="n">
        <x:f>IF(C30=0,0,SUMIFS('Coded Runs'!$R$5:$R$100,'Coded Runs'!$D$5:$D$100,A30,'Coded Runs'!$E$5:$E$100,B30)/C30)</x:f>
        <x:v>1</x:v>
      </x:c>
      <x:c r="G30" s="21" t="n">
        <x:f>IF(C30=0,0,SUMIFS('Coded Runs'!$S$5:$S$100,'Coded Runs'!$D$5:$D$100,A30,'Coded Runs'!$E$5:$E$100,B30)/C30)</x:f>
        <x:v>1</x:v>
      </x:c>
      <x:c r="H30" s="21" t="n">
        <x:f>IF(C30=0,0,SUMIFS('Coded Runs'!$T$5:$T$100,'Coded Runs'!$D$5:$D$100,A30,'Coded Runs'!$E$5:$E$100,B30)/C30)</x:f>
        <x:v>0</x:v>
      </x:c>
      <x:c r="I30" s="21" t="n">
        <x:f>IF(C30=0,0,SUMIFS('Coded Runs'!$X$5:$X$100,'Coded Runs'!$D$5:$D$100,A30,'Coded Runs'!$E$5:$E$100,B30)/C30)</x:f>
        <x:v>1</x:v>
      </x:c>
      <x:c r="J30" s="21" t="n">
        <x:f>IF(C30=0,0,SUMIFS('Coded Runs'!$Y$5:$Y$100,'Coded Runs'!$D$5:$D$100,A30,'Coded Runs'!$E$5:$E$100,B30)/C30)</x:f>
        <x:v>1</x:v>
      </x:c>
      <x:c r="K30" t="n">
        <x:f>SUMIFS('Coded Runs'!$Z$5:$Z$100,'Coded Runs'!$D$5:$D$100,A30,'Coded Runs'!$E$5:$E$100,B30)</x:f>
        <x:v>0</x:v>
      </x:c>
    </x:row>
    <x:row r="31">
      <x:c r="A31" t="str">
        <x:v>deepseek</x:v>
      </x:c>
      <x:c r="B31" t="str">
        <x:v>E</x:v>
      </x:c>
      <x:c r="C31" t="n">
        <x:f>COUNTIFS('Coded Runs'!$D$5:$D$100,A31,'Coded Runs'!$E$5:$E$100,B31)</x:f>
        <x:v>3</x:v>
      </x:c>
      <x:c r="D31" s="21" t="n">
        <x:f>IF(C31=0,0,SUMIFS('Coded Runs'!$P$5:$P$100,'Coded Runs'!$D$5:$D$100,A31,'Coded Runs'!$E$5:$E$100,B31)/C31)</x:f>
        <x:v>1</x:v>
      </x:c>
      <x:c r="E31" s="21" t="n">
        <x:f>IF(C31=0,0,SUMIFS('Coded Runs'!$Q$5:$Q$100,'Coded Runs'!$D$5:$D$100,A31,'Coded Runs'!$E$5:$E$100,B31)/C31)</x:f>
        <x:v>1</x:v>
      </x:c>
      <x:c r="F31" s="21" t="n">
        <x:f>IF(C31=0,0,SUMIFS('Coded Runs'!$R$5:$R$100,'Coded Runs'!$D$5:$D$100,A31,'Coded Runs'!$E$5:$E$100,B31)/C31)</x:f>
        <x:v>1</x:v>
      </x:c>
      <x:c r="G31" s="21" t="n">
        <x:f>IF(C31=0,0,SUMIFS('Coded Runs'!$S$5:$S$100,'Coded Runs'!$D$5:$D$100,A31,'Coded Runs'!$E$5:$E$100,B31)/C31)</x:f>
        <x:v>1</x:v>
      </x:c>
      <x:c r="H31" s="21" t="n">
        <x:f>IF(C31=0,0,SUMIFS('Coded Runs'!$T$5:$T$100,'Coded Runs'!$D$5:$D$100,A31,'Coded Runs'!$E$5:$E$100,B31)/C31)</x:f>
        <x:v>0</x:v>
      </x:c>
      <x:c r="I31" s="21" t="n">
        <x:f>IF(C31=0,0,SUMIFS('Coded Runs'!$X$5:$X$100,'Coded Runs'!$D$5:$D$100,A31,'Coded Runs'!$E$5:$E$100,B31)/C31)</x:f>
        <x:v>1</x:v>
      </x:c>
      <x:c r="J31" s="21" t="n">
        <x:f>IF(C31=0,0,SUMIFS('Coded Runs'!$Y$5:$Y$100,'Coded Runs'!$D$5:$D$100,A31,'Coded Runs'!$E$5:$E$100,B31)/C31)</x:f>
        <x:v>1</x:v>
      </x:c>
      <x:c r="K31" t="n">
        <x:f>SUMIFS('Coded Runs'!$Z$5:$Z$100,'Coded Runs'!$D$5:$D$100,A31,'Coded Runs'!$E$5:$E$100,B31)</x:f>
        <x:v>0</x:v>
      </x:c>
    </x:row>
    <x:row r="32">
      <x:c r="A32" t="str">
        <x:v>deepseek</x:v>
      </x:c>
      <x:c r="B32" t="str">
        <x:v>F</x:v>
      </x:c>
      <x:c r="C32" t="n">
        <x:f>COUNTIFS('Coded Runs'!$D$5:$D$100,A32,'Coded Runs'!$E$5:$E$100,B32)</x:f>
        <x:v>3</x:v>
      </x:c>
      <x:c r="D32" s="21" t="n">
        <x:f>IF(C32=0,0,SUMIFS('Coded Runs'!$P$5:$P$100,'Coded Runs'!$D$5:$D$100,A32,'Coded Runs'!$E$5:$E$100,B32)/C32)</x:f>
        <x:v>1</x:v>
      </x:c>
      <x:c r="E32" s="21" t="n">
        <x:f>IF(C32=0,0,SUMIFS('Coded Runs'!$Q$5:$Q$100,'Coded Runs'!$D$5:$D$100,A32,'Coded Runs'!$E$5:$E$100,B32)/C32)</x:f>
        <x:v>1</x:v>
      </x:c>
      <x:c r="F32" s="21" t="n">
        <x:f>IF(C32=0,0,SUMIFS('Coded Runs'!$R$5:$R$100,'Coded Runs'!$D$5:$D$100,A32,'Coded Runs'!$E$5:$E$100,B32)/C32)</x:f>
        <x:v>1</x:v>
      </x:c>
      <x:c r="G32" s="21" t="n">
        <x:f>IF(C32=0,0,SUMIFS('Coded Runs'!$S$5:$S$100,'Coded Runs'!$D$5:$D$100,A32,'Coded Runs'!$E$5:$E$100,B32)/C32)</x:f>
        <x:v>1</x:v>
      </x:c>
      <x:c r="H32" s="21" t="n">
        <x:f>IF(C32=0,0,SUMIFS('Coded Runs'!$T$5:$T$100,'Coded Runs'!$D$5:$D$100,A32,'Coded Runs'!$E$5:$E$100,B32)/C32)</x:f>
        <x:v>0</x:v>
      </x:c>
      <x:c r="I32" s="21" t="n">
        <x:f>IF(C32=0,0,SUMIFS('Coded Runs'!$X$5:$X$100,'Coded Runs'!$D$5:$D$100,A32,'Coded Runs'!$E$5:$E$100,B32)/C32)</x:f>
        <x:v>1</x:v>
      </x:c>
      <x:c r="J32" s="21" t="n">
        <x:f>IF(C32=0,0,SUMIFS('Coded Runs'!$Y$5:$Y$100,'Coded Runs'!$D$5:$D$100,A32,'Coded Runs'!$E$5:$E$100,B32)/C32)</x:f>
        <x:v>1</x:v>
      </x:c>
      <x:c r="K32" t="n">
        <x:f>SUMIFS('Coded Runs'!$Z$5:$Z$100,'Coded Runs'!$D$5:$D$100,A32,'Coded Runs'!$E$5:$E$100,B32)</x:f>
        <x:v>0</x:v>
      </x:c>
    </x:row>
    <x:row r="33">
      <x:c r="A33" t="str">
        <x:v>deepseek</x:v>
      </x:c>
      <x:c r="B33" t="str">
        <x:v>G</x:v>
      </x:c>
      <x:c r="C33" t="n">
        <x:f>COUNTIFS('Coded Runs'!$D$5:$D$100,A33,'Coded Runs'!$E$5:$E$100,B33)</x:f>
        <x:v>3</x:v>
      </x:c>
      <x:c r="D33" s="21" t="n">
        <x:f>IF(C33=0,0,SUMIFS('Coded Runs'!$P$5:$P$100,'Coded Runs'!$D$5:$D$100,A33,'Coded Runs'!$E$5:$E$100,B33)/C33)</x:f>
        <x:v>1</x:v>
      </x:c>
      <x:c r="E33" s="21" t="n">
        <x:f>IF(C33=0,0,SUMIFS('Coded Runs'!$Q$5:$Q$100,'Coded Runs'!$D$5:$D$100,A33,'Coded Runs'!$E$5:$E$100,B33)/C33)</x:f>
        <x:v>1</x:v>
      </x:c>
      <x:c r="F33" s="21" t="n">
        <x:f>IF(C33=0,0,SUMIFS('Coded Runs'!$R$5:$R$100,'Coded Runs'!$D$5:$D$100,A33,'Coded Runs'!$E$5:$E$100,B33)/C33)</x:f>
        <x:v>1</x:v>
      </x:c>
      <x:c r="G33" s="21" t="n">
        <x:f>IF(C33=0,0,SUMIFS('Coded Runs'!$S$5:$S$100,'Coded Runs'!$D$5:$D$100,A33,'Coded Runs'!$E$5:$E$100,B33)/C33)</x:f>
        <x:v>1</x:v>
      </x:c>
      <x:c r="H33" s="21" t="n">
        <x:f>IF(C33=0,0,SUMIFS('Coded Runs'!$T$5:$T$100,'Coded Runs'!$D$5:$D$100,A33,'Coded Runs'!$E$5:$E$100,B33)/C33)</x:f>
        <x:v>0</x:v>
      </x:c>
      <x:c r="I33" s="21" t="n">
        <x:f>IF(C33=0,0,SUMIFS('Coded Runs'!$X$5:$X$100,'Coded Runs'!$D$5:$D$100,A33,'Coded Runs'!$E$5:$E$100,B33)/C33)</x:f>
        <x:v>1</x:v>
      </x:c>
      <x:c r="J33" s="21" t="n">
        <x:f>IF(C33=0,0,SUMIFS('Coded Runs'!$Y$5:$Y$100,'Coded Runs'!$D$5:$D$100,A33,'Coded Runs'!$E$5:$E$100,B33)/C33)</x:f>
        <x:v>1</x:v>
      </x:c>
      <x:c r="K33" t="n">
        <x:f>SUMIFS('Coded Runs'!$Z$5:$Z$100,'Coded Runs'!$D$5:$D$100,A33,'Coded Runs'!$E$5:$E$100,B33)</x:f>
        <x:v>0</x:v>
      </x:c>
    </x:row>
    <x:row r="34">
      <x:c r="A34" t="str">
        <x:v>deepseek</x:v>
      </x:c>
      <x:c r="B34" t="str">
        <x:v>H</x:v>
      </x:c>
      <x:c r="C34" t="n">
        <x:f>COUNTIFS('Coded Runs'!$D$5:$D$100,A34,'Coded Runs'!$E$5:$E$100,B34)</x:f>
        <x:v>3</x:v>
      </x:c>
      <x:c r="D34" s="21" t="n">
        <x:f>IF(C34=0,0,SUMIFS('Coded Runs'!$P$5:$P$100,'Coded Runs'!$D$5:$D$100,A34,'Coded Runs'!$E$5:$E$100,B34)/C34)</x:f>
        <x:v>1</x:v>
      </x:c>
      <x:c r="E34" s="21" t="n">
        <x:f>IF(C34=0,0,SUMIFS('Coded Runs'!$Q$5:$Q$100,'Coded Runs'!$D$5:$D$100,A34,'Coded Runs'!$E$5:$E$100,B34)/C34)</x:f>
        <x:v>1</x:v>
      </x:c>
      <x:c r="F34" s="21" t="n">
        <x:f>IF(C34=0,0,SUMIFS('Coded Runs'!$R$5:$R$100,'Coded Runs'!$D$5:$D$100,A34,'Coded Runs'!$E$5:$E$100,B34)/C34)</x:f>
        <x:v>1</x:v>
      </x:c>
      <x:c r="G34" s="21" t="n">
        <x:f>IF(C34=0,0,SUMIFS('Coded Runs'!$S$5:$S$100,'Coded Runs'!$D$5:$D$100,A34,'Coded Runs'!$E$5:$E$100,B34)/C34)</x:f>
        <x:v>1</x:v>
      </x:c>
      <x:c r="H34" s="21" t="n">
        <x:f>IF(C34=0,0,SUMIFS('Coded Runs'!$T$5:$T$100,'Coded Runs'!$D$5:$D$100,A34,'Coded Runs'!$E$5:$E$100,B34)/C34)</x:f>
        <x:v>0</x:v>
      </x:c>
      <x:c r="I34" s="21" t="n">
        <x:f>IF(C34=0,0,SUMIFS('Coded Runs'!$X$5:$X$100,'Coded Runs'!$D$5:$D$100,A34,'Coded Runs'!$E$5:$E$100,B34)/C34)</x:f>
        <x:v>1</x:v>
      </x:c>
      <x:c r="J34" s="21" t="n">
        <x:f>IF(C34=0,0,SUMIFS('Coded Runs'!$Y$5:$Y$100,'Coded Runs'!$D$5:$D$100,A34,'Coded Runs'!$E$5:$E$100,B34)/C34)</x:f>
        <x:v>1</x:v>
      </x:c>
      <x:c r="K34" t="n">
        <x:f>SUMIFS('Coded Runs'!$Z$5:$Z$100,'Coded Runs'!$D$5:$D$100,A34,'Coded Runs'!$E$5:$E$100,B34)</x:f>
        <x:v>0</x:v>
      </x:c>
    </x:row>
    <x:row r="37">
      <x:c r="A37" s="10" t="str">
        <x:v>Reported trace sequence across A–H</x:v>
      </x:c>
      <x:c r="B37" s="10"/>
      <x:c r="C37" s="10"/>
      <x:c r="D37" s="10"/>
      <x:c r="E37" s="10"/>
      <x:c r="F37" s="10"/>
      <x:c r="H37" s="10" t="str">
        <x:v>Phase comparison</x:v>
      </x:c>
      <x:c r="I37" s="10"/>
      <x:c r="J37" s="10"/>
      <x:c r="K37" s="10"/>
    </x:row>
    <x:row r="38">
      <x:c r="A38" s="15" t="str">
        <x:v>Model</x:v>
      </x:c>
      <x:c r="B38" s="15" t="str">
        <x:v>E only</x:v>
      </x:c>
      <x:c r="C38" s="15" t="str">
        <x:v>D only</x:v>
      </x:c>
      <x:c r="D38" s="15" t="str">
        <x:v>D→E</x:v>
      </x:c>
      <x:c r="E38" s="15" t="str">
        <x:v>E→D</x:v>
      </x:c>
      <x:c r="F38" s="15" t="str">
        <x:v>Hybrid</x:v>
      </x:c>
      <x:c r="H38" s="15" t="str">
        <x:v>Phase</x:v>
      </x:c>
      <x:c r="I38" s="15" t="str">
        <x:v>N</x:v>
      </x:c>
      <x:c r="J38" s="15" t="str">
        <x:v>Avg completion tokens</x:v>
      </x:c>
      <x:c r="K38" s="15" t="str">
        <x:v>Self-corrections</x:v>
      </x:c>
    </x:row>
    <x:row r="39">
      <x:c r="A39" t="str">
        <x:v>claude</x:v>
      </x:c>
      <x:c r="B39" t="n">
        <x:f>COUNTIFS('Coded Runs'!$D$5:$D$100,A39,'Coded Runs'!$W$5:$W$100,"E")</x:f>
        <x:v>9</x:v>
      </x:c>
      <x:c r="C39" t="n">
        <x:f>COUNTIFS('Coded Runs'!$D$5:$D$100,A39,'Coded Runs'!$W$5:$W$100,"D")</x:f>
        <x:v>4</x:v>
      </x:c>
      <x:c r="D39" t="n">
        <x:f>COUNTIFS('Coded Runs'!$D$5:$D$100,A39,'Coded Runs'!$W$5:$W$100,"D→E")</x:f>
        <x:v>10</x:v>
      </x:c>
      <x:c r="E39" t="n">
        <x:f>COUNTIFS('Coded Runs'!$D$5:$D$100,A39,'Coded Runs'!$W$5:$W$100,"E→D")</x:f>
        <x:v>9</x:v>
      </x:c>
      <x:c r="F39" t="n">
        <x:f>D39+E39</x:f>
        <x:v>19</x:v>
      </x:c>
      <x:c r="H39" t="str">
        <x:v>A/B base</x:v>
      </x:c>
      <x:c r="I39" t="n">
        <x:f>COUNTIF('Coded Runs'!$C$5:$C$100,H39)</x:f>
        <x:v>30</x:v>
      </x:c>
      <x:c r="J39" s="22" t="n">
        <x:f>SUMIF('Coded Runs'!$C$5:$C$100,H39,'Coded Runs'!$L$5:$L$100)/I39</x:f>
        <x:v>960.2</x:v>
      </x:c>
      <x:c r="K39" t="n">
        <x:f>SUMIF('Coded Runs'!$C$5:$C$100,H39,'Coded Runs'!$Z$5:$Z$100)</x:f>
        <x:v>0</x:v>
      </x:c>
    </x:row>
    <x:row r="40">
      <x:c r="A40" t="str">
        <x:v>mistral</x:v>
      </x:c>
      <x:c r="B40" t="n">
        <x:f>COUNTIFS('Coded Runs'!$D$5:$D$100,A40,'Coded Runs'!$W$5:$W$100,"E")</x:f>
        <x:v>23</x:v>
      </x:c>
      <x:c r="C40" t="n">
        <x:f>COUNTIFS('Coded Runs'!$D$5:$D$100,A40,'Coded Runs'!$W$5:$W$100,"D")</x:f>
        <x:v>3</x:v>
      </x:c>
      <x:c r="D40" t="n">
        <x:f>COUNTIFS('Coded Runs'!$D$5:$D$100,A40,'Coded Runs'!$W$5:$W$100,"D→E")</x:f>
        <x:v>6</x:v>
      </x:c>
      <x:c r="E40" t="n">
        <x:f>COUNTIFS('Coded Runs'!$D$5:$D$100,A40,'Coded Runs'!$W$5:$W$100,"E→D")</x:f>
        <x:v>0</x:v>
      </x:c>
      <x:c r="F40" t="n">
        <x:f>D40+E40</x:f>
        <x:v>6</x:v>
      </x:c>
      <x:c r="H40" t="str">
        <x:v>C/D high multiplicity</x:v>
      </x:c>
      <x:c r="I40" t="n">
        <x:f>COUNTIF('Coded Runs'!$C$5:$C$100,H40)</x:f>
        <x:v>30</x:v>
      </x:c>
      <x:c r="J40" s="22" t="n">
        <x:f>SUMIF('Coded Runs'!$C$5:$C$100,H40,'Coded Runs'!$L$5:$L$100)/I40</x:f>
        <x:v>1189.0333333333333</x:v>
      </x:c>
      <x:c r="K40" t="n">
        <x:f>SUMIF('Coded Runs'!$C$5:$C$100,H40,'Coded Runs'!$Z$5:$Z$100)</x:f>
        <x:v>1</x:v>
      </x:c>
    </x:row>
    <x:row r="41">
      <x:c r="A41" t="str">
        <x:v>deepseek</x:v>
      </x:c>
      <x:c r="B41" t="n">
        <x:f>COUNTIFS('Coded Runs'!$D$5:$D$100,A41,'Coded Runs'!$W$5:$W$100,"E")</x:f>
        <x:v>11</x:v>
      </x:c>
      <x:c r="C41" t="n">
        <x:f>COUNTIFS('Coded Runs'!$D$5:$D$100,A41,'Coded Runs'!$W$5:$W$100,"D")</x:f>
        <x:v>3</x:v>
      </x:c>
      <x:c r="D41" t="n">
        <x:f>COUNTIFS('Coded Runs'!$D$5:$D$100,A41,'Coded Runs'!$W$5:$W$100,"D→E")</x:f>
        <x:v>4</x:v>
      </x:c>
      <x:c r="E41" t="n">
        <x:f>COUNTIFS('Coded Runs'!$D$5:$D$100,A41,'Coded Runs'!$W$5:$W$100,"E→D")</x:f>
        <x:v>14</x:v>
      </x:c>
      <x:c r="F41" t="n">
        <x:f>D41+E41</x:f>
        <x:v>18</x:v>
      </x:c>
      <x:c r="H41" t="str">
        <x:v>E/H search burden</x:v>
      </x:c>
      <x:c r="I41" t="n">
        <x:f>COUNTIF('Coded Runs'!$C$5:$C$100,H41)</x:f>
        <x:v>36</x:v>
      </x:c>
      <x:c r="J41" s="22" t="n">
        <x:f>SUMIF('Coded Runs'!$C$5:$C$100,H41,'Coded Runs'!$L$5:$L$100)/I41</x:f>
        <x:v>1291.5277777777778</x:v>
      </x:c>
      <x:c r="K41" t="n">
        <x:f>SUMIF('Coded Runs'!$C$5:$C$100,H41,'Coded Runs'!$Z$5:$Z$100)</x:f>
        <x:v>0</x:v>
      </x:c>
    </x:row>
    <x:row r="44">
      <x:c r="A44" s="10" t="str">
        <x:v>Interpretation</x:v>
      </x:c>
      <x:c r="B44" s="10"/>
      <x:c r="C44" s="10"/>
      <x:c r="D44" s="10"/>
      <x:c r="E44" s="10"/>
      <x:c r="F44" s="10"/>
      <x:c r="G44" s="10"/>
      <x:c r="H44" s="10"/>
      <x:c r="I44" s="10"/>
      <x:c r="J44" s="10"/>
      <x:c r="K44" s="10"/>
    </x:row>
    <x:row r="45" ht="22" customHeight="1">
      <x:c r="A45" s="26" t="str">
        <x:v>• Final-answer performance remains at ceiling: all 96 runs return the exact path set, weights, and edge counts.
• E–H raise the burden to 9–16 feasible paths, 4–8 optima, and 5–8 min+1 distractors without producing a final error.
• Mean completion length rises from 960.2 tokens (A/B) to 1,189.0 (C/D) and 1,291.5 (E–H), while accuracy remains unchanged.
• Enumeration dominates the E–H visible traces (26/36), although the layered graph construction itself favors that strategy.
• These clean, small List-All DAGs are therefore ceiling-level for final accuracy; a formal study needs larger/less transparent graph families or should explicitly foreground visible rationale stability and prompt robustness.</x:v>
      </x:c>
    </x:row>
    <x:row r="46" ht="22" customHeight="1"/>
    <x:row r="47" ht="22" customHeight="1"/>
    <x:row r="48" ht="22" customHeight="1"/>
    <x:row r="49" ht="22" customHeight="1"/>
  </x:sheetData>
  <x:mergeCells>
    <x:mergeCell ref="A1:K1"/>
    <x:mergeCell ref="A2:K2"/>
    <x:mergeCell ref="A4:K4"/>
    <x:mergeCell ref="A9:K9"/>
    <x:mergeCell ref="A37:F37"/>
    <x:mergeCell ref="H37:K37"/>
    <x:mergeCell ref="A44:K44"/>
    <x:mergeCell ref="A45:K4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3" hidden="0" customWidth="1"/>
    <x:col min="3" max="3" width="22" hidden="0" customWidth="1"/>
    <x:col min="4" max="4" width="12" hidden="0" customWidth="1"/>
    <x:col min="5" max="5" width="12" hidden="0" customWidth="1"/>
    <x:col min="6" max="6" width="12" hidden="0" customWidth="1"/>
    <x:col min="7" max="7" width="12" hidden="0" customWidth="1"/>
    <x:col min="8" max="8" width="30" hidden="0" customWidth="1"/>
    <x:col min="9" max="9" width="16" hidden="0" customWidth="1"/>
    <x:col min="10" max="10" width="30" hidden="0" customWidth="1"/>
    <x:col min="11" max="11" width="13" hidden="0" customWidth="1"/>
    <x:col min="12" max="12" width="13" hidden="0" customWidth="1"/>
    <x:col min="13" max="13" width="13" hidden="0" customWidth="1"/>
    <x:col min="14" max="14" width="13" hidden="0" customWidth="1"/>
    <x:col min="15" max="15" width="13"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58" hidden="0" customWidth="1"/>
  </x:cols>
  <x:sheetData>
    <x:row r="1" ht="30" customHeight="1">
      <x:c r="A1" s="3" t="str">
        <x:v>Coded Runs</x:v>
      </x:c>
    </x:row>
    <x:row r="2" ht="28" customHeight="1">
      <x:c r="A2" s="7" t="str">
        <x:v>Final-answer outcomes are separated from visible trace strategy and explicit self-correction across A–H.</x:v>
      </x:c>
    </x:row>
    <x:row r="4">
      <x:c r="A4" s="15" t="str">
        <x:v>run_id</x:v>
      </x:c>
      <x:c r="B4" s="15" t="str">
        <x:v>timestamp_utc</x:v>
      </x:c>
      <x:c r="C4" s="15" t="str">
        <x:v>study_phase</x:v>
      </x:c>
      <x:c r="D4" s="15" t="str">
        <x:v>model_key</x:v>
      </x:c>
      <x:c r="E4" s="15" t="str">
        <x:v>graph</x:v>
      </x:c>
      <x:c r="F4" s="15" t="str">
        <x:v>repetition</x:v>
      </x:c>
      <x:c r="G4" s="15" t="str">
        <x:v>http_status</x:v>
      </x:c>
      <x:c r="H4" s="15" t="str">
        <x:v>returned_model</x:v>
      </x:c>
      <x:c r="I4" s="15" t="str">
        <x:v>returned_provider</x:v>
      </x:c>
      <x:c r="J4" s="15" t="str">
        <x:v>response_id</x:v>
      </x:c>
      <x:c r="K4" s="15" t="str">
        <x:v>prompt_tokens</x:v>
      </x:c>
      <x:c r="L4" s="15" t="str">
        <x:v>completion_tokens</x:v>
      </x:c>
      <x:c r="M4" s="15" t="str">
        <x:v>total_tokens</x:v>
      </x:c>
      <x:c r="N4" s="15" t="str">
        <x:v>cost_usd</x:v>
      </x:c>
      <x:c r="O4" s="15" t="str">
        <x:v>output_chars</x:v>
      </x:c>
      <x:c r="P4" s="15" t="str">
        <x:v>exact_path_set</x:v>
      </x:c>
      <x:c r="Q4" s="15" t="str">
        <x:v>correct_weights</x:v>
      </x:c>
      <x:c r="R4" s="15" t="str">
        <x:v>correct_edge_counts</x:v>
      </x:c>
      <x:c r="S4" s="15" t="str">
        <x:v>internally_consistent</x:v>
      </x:c>
      <x:c r="T4" s="15" t="str">
        <x:v>criterion_confusion</x:v>
      </x:c>
      <x:c r="U4" s="15" t="str">
        <x:v>trace_primary</x:v>
      </x:c>
      <x:c r="V4" s="15" t="str">
        <x:v>trace_components</x:v>
      </x:c>
      <x:c r="W4" s="15" t="str">
        <x:v>trace_sequence</x:v>
      </x:c>
      <x:c r="X4" s="15" t="str">
        <x:v>completeness_support</x:v>
      </x:c>
      <x:c r="Y4" s="15" t="str">
        <x:v>parseable</x:v>
      </x:c>
      <x:c r="Z4" s="15" t="str">
        <x:v>self_correction</x:v>
      </x:c>
      <x:c r="AA4" s="15" t="str">
        <x:v>notes</x:v>
      </x:c>
    </x:row>
    <x:row r="5" ht="34" customHeight="1">
      <x:c r="A5" s="29" t="str">
        <x:v>claude_A01</x:v>
      </x:c>
      <x:c r="B5" s="30" t="n">
        <x:v>46247.92873511574</x:v>
      </x:c>
      <x:c r="C5" s="29" t="str">
        <x:v>A/B base</x:v>
      </x:c>
      <x:c r="D5" s="29" t="str">
        <x:v>claude</x:v>
      </x:c>
      <x:c r="E5" s="29" t="str">
        <x:v>A</x:v>
      </x:c>
      <x:c r="F5" s="29" t="n">
        <x:v>1</x:v>
      </x:c>
      <x:c r="G5" s="29" t="n">
        <x:v>200</x:v>
      </x:c>
      <x:c r="H5" s="29" t="str">
        <x:v>anthropic/claude-sonnet-4.6</x:v>
      </x:c>
      <x:c r="I5" s="29" t="str">
        <x:v>Anthropic</x:v>
      </x:c>
      <x:c r="J5" s="29" t="str">
        <x:v>gen-1786659443-3aXR8mezSgH00AoSbzUj</x:v>
      </x:c>
      <x:c r="K5" s="29" t="n">
        <x:v>161</x:v>
      </x:c>
      <x:c r="L5" s="29" t="n">
        <x:v>521</x:v>
      </x:c>
      <x:c r="M5" s="29" t="n">
        <x:v>682</x:v>
      </x:c>
      <x:c r="N5" s="31" t="n">
        <x:v>0.008298</x:v>
      </x:c>
      <x:c r="O5" s="29" t="n">
        <x:v>1100</x:v>
      </x:c>
      <x:c r="P5" s="29" t="n">
        <x:v>1</x:v>
      </x:c>
      <x:c r="Q5" s="29" t="n">
        <x:v>1</x:v>
      </x:c>
      <x:c r="R5" s="29" t="n">
        <x:v>1</x:v>
      </x:c>
      <x:c r="S5" s="29" t="n">
        <x:v>1</x:v>
      </x:c>
      <x:c r="T5" s="29" t="n">
        <x:v>0</x:v>
      </x:c>
      <x:c r="U5" s="29" t="str">
        <x:v>D</x:v>
      </x:c>
      <x:c r="V5" s="29" t="str">
        <x:v>D+E</x:v>
      </x:c>
      <x:c r="W5" s="29" t="str">
        <x:v>D→E</x:v>
      </x:c>
      <x:c r="X5" s="29" t="n">
        <x:v>1</x:v>
      </x:c>
      <x:c r="Y5" s="29" t="n">
        <x:v>1</x:v>
      </x:c>
      <x:c r="Z5" s="29" t="n">
        <x:v>0</x:v>
      </x:c>
      <x:c r="AA5" s="32" t="str">
        <x:v>Full Dijkstra trace followed by explicit enumeration of all three S–T paths.</x:v>
      </x:c>
    </x:row>
    <x:row r="6" ht="34" customHeight="1">
      <x:c r="A6" s="29" t="str">
        <x:v>claude_B01</x:v>
      </x:c>
      <x:c r="B6" s="30" t="n">
        <x:v>46247.92883159722</x:v>
      </x:c>
      <x:c r="C6" s="29" t="str">
        <x:v>A/B base</x:v>
      </x:c>
      <x:c r="D6" s="29" t="str">
        <x:v>claude</x:v>
      </x:c>
      <x:c r="E6" s="29" t="str">
        <x:v>B</x:v>
      </x:c>
      <x:c r="F6" s="29" t="n">
        <x:v>1</x:v>
      </x:c>
      <x:c r="G6" s="29" t="n">
        <x:v>200</x:v>
      </x:c>
      <x:c r="H6" s="29" t="str">
        <x:v>anthropic/claude-sonnet-4.6</x:v>
      </x:c>
      <x:c r="I6" s="29" t="str">
        <x:v>Anthropic</x:v>
      </x:c>
      <x:c r="J6" s="29" t="str">
        <x:v>gen-1786659451-2kAJnnZ0kLpUVfG6BE7b</x:v>
      </x:c>
      <x:c r="K6" s="29" t="n">
        <x:v>161</x:v>
      </x:c>
      <x:c r="L6" s="29" t="n">
        <x:v>848</x:v>
      </x:c>
      <x:c r="M6" s="29" t="n">
        <x:v>1009</x:v>
      </x:c>
      <x:c r="N6" s="31" t="n">
        <x:v>0.013203</x:v>
      </x:c>
      <x:c r="O6" s="29" t="n">
        <x:v>1834</x:v>
      </x:c>
      <x:c r="P6" s="29" t="n">
        <x:v>1</x:v>
      </x:c>
      <x:c r="Q6" s="29" t="n">
        <x:v>1</x:v>
      </x:c>
      <x:c r="R6" s="29" t="n">
        <x:v>1</x:v>
      </x:c>
      <x:c r="S6" s="29" t="n">
        <x:v>1</x:v>
      </x:c>
      <x:c r="T6" s="29" t="n">
        <x:v>0</x:v>
      </x:c>
      <x:c r="U6" s="29" t="str">
        <x:v>D</x:v>
      </x:c>
      <x:c r="V6" s="29" t="str">
        <x:v>D+E</x:v>
      </x:c>
      <x:c r="W6" s="29" t="str">
        <x:v>D→E</x:v>
      </x:c>
      <x:c r="X6" s="29" t="n">
        <x:v>1</x:v>
      </x:c>
      <x:c r="Y6" s="29" t="n">
        <x:v>1</x:v>
      </x:c>
      <x:c r="Z6" s="29" t="n">
        <x:v>0</x:v>
      </x:c>
      <x:c r="AA6" s="32" t="str">
        <x:v>Dijkstra/distance updates followed by verification of all candidate paths.</x:v>
      </x:c>
    </x:row>
    <x:row r="7" ht="34" customHeight="1">
      <x:c r="A7" s="29" t="str">
        <x:v>claude_B02</x:v>
      </x:c>
      <x:c r="B7" s="30" t="n">
        <x:v>46247.92897715278</x:v>
      </x:c>
      <x:c r="C7" s="29" t="str">
        <x:v>A/B base</x:v>
      </x:c>
      <x:c r="D7" s="29" t="str">
        <x:v>claude</x:v>
      </x:c>
      <x:c r="E7" s="29" t="str">
        <x:v>B</x:v>
      </x:c>
      <x:c r="F7" s="29" t="n">
        <x:v>2</x:v>
      </x:c>
      <x:c r="G7" s="29" t="n">
        <x:v>200</x:v>
      </x:c>
      <x:c r="H7" s="29" t="str">
        <x:v>anthropic/claude-sonnet-4.6</x:v>
      </x:c>
      <x:c r="I7" s="29" t="str">
        <x:v>Anthropic</x:v>
      </x:c>
      <x:c r="J7" s="29" t="str">
        <x:v>gen-1786659464-E7aWyqzgDYmEDl1RZH77</x:v>
      </x:c>
      <x:c r="K7" s="29" t="n">
        <x:v>161</x:v>
      </x:c>
      <x:c r="L7" s="29" t="n">
        <x:v>548</x:v>
      </x:c>
      <x:c r="M7" s="29" t="n">
        <x:v>709</x:v>
      </x:c>
      <x:c r="N7" s="31" t="n">
        <x:v>0.008703</x:v>
      </x:c>
      <x:c r="O7" s="29" t="n">
        <x:v>1174</x:v>
      </x:c>
      <x:c r="P7" s="29" t="n">
        <x:v>1</x:v>
      </x:c>
      <x:c r="Q7" s="29" t="n">
        <x:v>1</x:v>
      </x:c>
      <x:c r="R7" s="29" t="n">
        <x:v>1</x:v>
      </x:c>
      <x:c r="S7" s="29" t="n">
        <x:v>1</x:v>
      </x:c>
      <x:c r="T7" s="29" t="n">
        <x:v>0</x:v>
      </x:c>
      <x:c r="U7" s="29" t="str">
        <x:v>D</x:v>
      </x:c>
      <x:c r="V7" s="29" t="str">
        <x:v>D+E</x:v>
      </x:c>
      <x:c r="W7" s="29" t="str">
        <x:v>D→E</x:v>
      </x:c>
      <x:c r="X7" s="29" t="n">
        <x:v>1</x:v>
      </x:c>
      <x:c r="Y7" s="29" t="n">
        <x:v>1</x:v>
      </x:c>
      <x:c r="Z7" s="29" t="n">
        <x:v>0</x:v>
      </x:c>
      <x:c r="AA7" s="32" t="str">
        <x:v>Dijkstra first; then enumerates all paths attaining the terminal distance.</x:v>
      </x:c>
    </x:row>
    <x:row r="8" ht="34" customHeight="1">
      <x:c r="A8" s="29" t="str">
        <x:v>claude_A02</x:v>
      </x:c>
      <x:c r="B8" s="30" t="n">
        <x:v>46247.929084247684</x:v>
      </x:c>
      <x:c r="C8" s="29" t="str">
        <x:v>A/B base</x:v>
      </x:c>
      <x:c r="D8" s="29" t="str">
        <x:v>claude</x:v>
      </x:c>
      <x:c r="E8" s="29" t="str">
        <x:v>A</x:v>
      </x:c>
      <x:c r="F8" s="29" t="n">
        <x:v>2</x:v>
      </x:c>
      <x:c r="G8" s="29" t="n">
        <x:v>200</x:v>
      </x:c>
      <x:c r="H8" s="29" t="str">
        <x:v>anthropic/claude-sonnet-4.6</x:v>
      </x:c>
      <x:c r="I8" s="29" t="str">
        <x:v>Anthropic</x:v>
      </x:c>
      <x:c r="J8" s="29" t="str">
        <x:v>gen-1786659473-Fw8yggk0Jdl0ZYAkoPLq</x:v>
      </x:c>
      <x:c r="K8" s="29" t="n">
        <x:v>161</x:v>
      </x:c>
      <x:c r="L8" s="29" t="n">
        <x:v>561</x:v>
      </x:c>
      <x:c r="M8" s="29" t="n">
        <x:v>722</x:v>
      </x:c>
      <x:c r="N8" s="31" t="n">
        <x:v>0.008898</x:v>
      </x:c>
      <x:c r="O8" s="29" t="n">
        <x:v>1187</x:v>
      </x:c>
      <x:c r="P8" s="29" t="n">
        <x:v>1</x:v>
      </x:c>
      <x:c r="Q8" s="29" t="n">
        <x:v>1</x:v>
      </x:c>
      <x:c r="R8" s="29" t="n">
        <x:v>1</x:v>
      </x:c>
      <x:c r="S8" s="29" t="n">
        <x:v>1</x:v>
      </x:c>
      <x:c r="T8" s="29" t="n">
        <x:v>0</x:v>
      </x:c>
      <x:c r="U8" s="29" t="str">
        <x:v>E</x:v>
      </x:c>
      <x:c r="V8" s="29" t="str">
        <x:v>D+E</x:v>
      </x:c>
      <x:c r="W8" s="29" t="str">
        <x:v>E→D</x:v>
      </x:c>
      <x:c r="X8" s="29" t="n">
        <x:v>1</x:v>
      </x:c>
      <x:c r="Y8" s="29" t="n">
        <x:v>1</x:v>
      </x:c>
      <x:c r="Z8" s="29" t="n">
        <x:v>0</x:v>
      </x:c>
      <x:c r="AA8" s="32" t="str">
        <x:v>Enumerates every S–T path, then verifies the result with Dijkstra.</x:v>
      </x:c>
    </x:row>
    <x:row r="9" ht="34" customHeight="1">
      <x:c r="A9" s="29" t="str">
        <x:v>claude_B03</x:v>
      </x:c>
      <x:c r="B9" s="30" t="n">
        <x:v>46247.92919925926</x:v>
      </x:c>
      <x:c r="C9" s="29" t="str">
        <x:v>A/B base</x:v>
      </x:c>
      <x:c r="D9" s="29" t="str">
        <x:v>claude</x:v>
      </x:c>
      <x:c r="E9" s="29" t="str">
        <x:v>B</x:v>
      </x:c>
      <x:c r="F9" s="29" t="n">
        <x:v>3</x:v>
      </x:c>
      <x:c r="G9" s="29" t="n">
        <x:v>200</x:v>
      </x:c>
      <x:c r="H9" s="29" t="str">
        <x:v>anthropic/claude-sonnet-4.6</x:v>
      </x:c>
      <x:c r="I9" s="29" t="str">
        <x:v>Anthropic</x:v>
      </x:c>
      <x:c r="J9" s="29" t="str">
        <x:v>gen-1786659483-3NwxxWqDGALysRBSoKUh</x:v>
      </x:c>
      <x:c r="K9" s="29" t="n">
        <x:v>161</x:v>
      </x:c>
      <x:c r="L9" s="29" t="n">
        <x:v>592</x:v>
      </x:c>
      <x:c r="M9" s="29" t="n">
        <x:v>753</x:v>
      </x:c>
      <x:c r="N9" s="31" t="n">
        <x:v>0.009363</x:v>
      </x:c>
      <x:c r="O9" s="29" t="n">
        <x:v>1294</x:v>
      </x:c>
      <x:c r="P9" s="29" t="n">
        <x:v>1</x:v>
      </x:c>
      <x:c r="Q9" s="29" t="n">
        <x:v>1</x:v>
      </x:c>
      <x:c r="R9" s="29" t="n">
        <x:v>1</x:v>
      </x:c>
      <x:c r="S9" s="29" t="n">
        <x:v>1</x:v>
      </x:c>
      <x:c r="T9" s="29" t="n">
        <x:v>0</x:v>
      </x:c>
      <x:c r="U9" s="29" t="str">
        <x:v>E</x:v>
      </x:c>
      <x:c r="V9" s="29" t="str">
        <x:v>D+E</x:v>
      </x:c>
      <x:c r="W9" s="29" t="str">
        <x:v>E→D</x:v>
      </x:c>
      <x:c r="X9" s="29" t="n">
        <x:v>1</x:v>
      </x:c>
      <x:c r="Y9" s="29" t="n">
        <x:v>1</x:v>
      </x:c>
      <x:c r="Z9" s="29" t="n">
        <x:v>0</x:v>
      </x:c>
      <x:c r="AA9" s="32" t="str">
        <x:v>Enumerates all candidates, then gives a Dijkstra verification.</x:v>
      </x:c>
    </x:row>
    <x:row r="10" ht="34" customHeight="1">
      <x:c r="A10" s="29" t="str">
        <x:v>claude_A03</x:v>
      </x:c>
      <x:c r="B10" s="30" t="n">
        <x:v>46247.92932358796</x:v>
      </x:c>
      <x:c r="C10" s="29" t="str">
        <x:v>A/B base</x:v>
      </x:c>
      <x:c r="D10" s="29" t="str">
        <x:v>claude</x:v>
      </x:c>
      <x:c r="E10" s="29" t="str">
        <x:v>A</x:v>
      </x:c>
      <x:c r="F10" s="29" t="n">
        <x:v>3</x:v>
      </x:c>
      <x:c r="G10" s="29" t="n">
        <x:v>200</x:v>
      </x:c>
      <x:c r="H10" s="29" t="str">
        <x:v>anthropic/claude-sonnet-4.6</x:v>
      </x:c>
      <x:c r="I10" s="29" t="str">
        <x:v>Anthropic</x:v>
      </x:c>
      <x:c r="J10" s="29" t="str">
        <x:v>gen-1786659494-fUHaf0GV0YPfrvZv3uvr</x:v>
      </x:c>
      <x:c r="K10" s="29" t="n">
        <x:v>161</x:v>
      </x:c>
      <x:c r="L10" s="29" t="n">
        <x:v>1048</x:v>
      </x:c>
      <x:c r="M10" s="29" t="n">
        <x:v>1209</x:v>
      </x:c>
      <x:c r="N10" s="31" t="n">
        <x:v>0.016203</x:v>
      </x:c>
      <x:c r="O10" s="29" t="n">
        <x:v>2127</x:v>
      </x:c>
      <x:c r="P10" s="29" t="n">
        <x:v>1</x:v>
      </x:c>
      <x:c r="Q10" s="29" t="n">
        <x:v>1</x:v>
      </x:c>
      <x:c r="R10" s="29" t="n">
        <x:v>1</x:v>
      </x:c>
      <x:c r="S10" s="29" t="n">
        <x:v>1</x:v>
      </x:c>
      <x:c r="T10" s="29" t="n">
        <x:v>0</x:v>
      </x:c>
      <x:c r="U10" s="29" t="str">
        <x:v>D</x:v>
      </x:c>
      <x:c r="V10" s="29" t="str">
        <x:v>D</x:v>
      </x:c>
      <x:c r="W10" s="29" t="str">
        <x:v>D</x:v>
      </x:c>
      <x:c r="X10" s="29" t="n">
        <x:v>1</x:v>
      </x:c>
      <x:c r="Y10" s="29" t="n">
        <x:v>1</x:v>
      </x:c>
      <x:c r="Z10" s="29" t="n">
        <x:v>0</x:v>
      </x:c>
      <x:c r="AA10" s="32" t="str">
        <x:v>Dijkstra with tied predecessor backtracking; no separate full enumeration stage.</x:v>
      </x:c>
    </x:row>
    <x:row r="11" ht="34" customHeight="1">
      <x:c r="A11" s="29" t="str">
        <x:v>claude_A04</x:v>
      </x:c>
      <x:c r="B11" s="30" t="n">
        <x:v>46247.92949850694</x:v>
      </x:c>
      <x:c r="C11" s="29" t="str">
        <x:v>A/B base</x:v>
      </x:c>
      <x:c r="D11" s="29" t="str">
        <x:v>claude</x:v>
      </x:c>
      <x:c r="E11" s="29" t="str">
        <x:v>A</x:v>
      </x:c>
      <x:c r="F11" s="29" t="n">
        <x:v>4</x:v>
      </x:c>
      <x:c r="G11" s="29" t="n">
        <x:v>200</x:v>
      </x:c>
      <x:c r="H11" s="29" t="str">
        <x:v>anthropic/claude-sonnet-4.6</x:v>
      </x:c>
      <x:c r="I11" s="29" t="str">
        <x:v>Anthropic</x:v>
      </x:c>
      <x:c r="J11" s="29" t="str">
        <x:v>gen-1786659509-FnQ4kQxXYiGyBUyb03RH</x:v>
      </x:c>
      <x:c r="K11" s="29" t="n">
        <x:v>161</x:v>
      </x:c>
      <x:c r="L11" s="29" t="n">
        <x:v>496</x:v>
      </x:c>
      <x:c r="M11" s="29" t="n">
        <x:v>657</x:v>
      </x:c>
      <x:c r="N11" s="31" t="n">
        <x:v>0.007923</x:v>
      </x:c>
      <x:c r="O11" s="29" t="n">
        <x:v>1103</x:v>
      </x:c>
      <x:c r="P11" s="29" t="n">
        <x:v>1</x:v>
      </x:c>
      <x:c r="Q11" s="29" t="n">
        <x:v>1</x:v>
      </x:c>
      <x:c r="R11" s="29" t="n">
        <x:v>1</x:v>
      </x:c>
      <x:c r="S11" s="29" t="n">
        <x:v>1</x:v>
      </x:c>
      <x:c r="T11" s="29" t="n">
        <x:v>0</x:v>
      </x:c>
      <x:c r="U11" s="29" t="str">
        <x:v>D</x:v>
      </x:c>
      <x:c r="V11" s="29" t="str">
        <x:v>D</x:v>
      </x:c>
      <x:c r="W11" s="29" t="str">
        <x:v>D</x:v>
      </x:c>
      <x:c r="X11" s="29" t="n">
        <x:v>1</x:v>
      </x:c>
      <x:c r="Y11" s="29" t="n">
        <x:v>1</x:v>
      </x:c>
      <x:c r="Z11" s="29" t="n">
        <x:v>0</x:v>
      </x:c>
      <x:c r="AA11" s="32" t="str">
        <x:v>Dijkstra distance updates and tied terminal predecessors.</x:v>
      </x:c>
    </x:row>
    <x:row r="12" ht="34" customHeight="1">
      <x:c r="A12" s="29" t="str">
        <x:v>claude_B04</x:v>
      </x:c>
      <x:c r="B12" s="30" t="n">
        <x:v>46247.9295996875</x:v>
      </x:c>
      <x:c r="C12" s="29" t="str">
        <x:v>A/B base</x:v>
      </x:c>
      <x:c r="D12" s="29" t="str">
        <x:v>claude</x:v>
      </x:c>
      <x:c r="E12" s="29" t="str">
        <x:v>B</x:v>
      </x:c>
      <x:c r="F12" s="29" t="n">
        <x:v>4</x:v>
      </x:c>
      <x:c r="G12" s="29" t="n">
        <x:v>200</x:v>
      </x:c>
      <x:c r="H12" s="29" t="str">
        <x:v>anthropic/claude-sonnet-4.6</x:v>
      </x:c>
      <x:c r="I12" s="29" t="str">
        <x:v>Anthropic</x:v>
      </x:c>
      <x:c r="J12" s="29" t="str">
        <x:v>gen-1786659518-B62FvqTGmg0mNbZ6R1O4</x:v>
      </x:c>
      <x:c r="K12" s="29" t="n">
        <x:v>161</x:v>
      </x:c>
      <x:c r="L12" s="29" t="n">
        <x:v>720</x:v>
      </x:c>
      <x:c r="M12" s="29" t="n">
        <x:v>881</x:v>
      </x:c>
      <x:c r="N12" s="31" t="n">
        <x:v>0.011283</x:v>
      </x:c>
      <x:c r="O12" s="29" t="n">
        <x:v>1506</x:v>
      </x:c>
      <x:c r="P12" s="29" t="n">
        <x:v>1</x:v>
      </x:c>
      <x:c r="Q12" s="29" t="n">
        <x:v>1</x:v>
      </x:c>
      <x:c r="R12" s="29" t="n">
        <x:v>1</x:v>
      </x:c>
      <x:c r="S12" s="29" t="n">
        <x:v>1</x:v>
      </x:c>
      <x:c r="T12" s="29" t="n">
        <x:v>0</x:v>
      </x:c>
      <x:c r="U12" s="29" t="str">
        <x:v>D</x:v>
      </x:c>
      <x:c r="V12" s="29" t="str">
        <x:v>D</x:v>
      </x:c>
      <x:c r="W12" s="29" t="str">
        <x:v>D</x:v>
      </x:c>
      <x:c r="X12" s="29" t="n">
        <x:v>1</x:v>
      </x:c>
      <x:c r="Y12" s="29" t="n">
        <x:v>1</x:v>
      </x:c>
      <x:c r="Z12" s="29" t="n">
        <x:v>0</x:v>
      </x:c>
      <x:c r="AA12" s="32" t="str">
        <x:v>Dijkstra-centric trace; the nonminimum alternative is checked as a supporting comparison.</x:v>
      </x:c>
    </x:row>
    <x:row r="13" ht="34" customHeight="1">
      <x:c r="A13" s="29" t="str">
        <x:v>claude_A05</x:v>
      </x:c>
      <x:c r="B13" s="30" t="n">
        <x:v>46247.929729166666</x:v>
      </x:c>
      <x:c r="C13" s="29" t="str">
        <x:v>A/B base</x:v>
      </x:c>
      <x:c r="D13" s="29" t="str">
        <x:v>claude</x:v>
      </x:c>
      <x:c r="E13" s="29" t="str">
        <x:v>A</x:v>
      </x:c>
      <x:c r="F13" s="29" t="n">
        <x:v>5</x:v>
      </x:c>
      <x:c r="G13" s="29" t="n">
        <x:v>200</x:v>
      </x:c>
      <x:c r="H13" s="29" t="str">
        <x:v>anthropic/claude-sonnet-4.6</x:v>
      </x:c>
      <x:c r="I13" s="29" t="str">
        <x:v>Anthropic</x:v>
      </x:c>
      <x:c r="J13" s="29" t="str">
        <x:v>gen-1786659529-DdcbhZU8JCVnwIcJWd5N</x:v>
      </x:c>
      <x:c r="K13" s="29" t="n">
        <x:v>161</x:v>
      </x:c>
      <x:c r="L13" s="29" t="n">
        <x:v>644</x:v>
      </x:c>
      <x:c r="M13" s="29" t="n">
        <x:v>805</x:v>
      </x:c>
      <x:c r="N13" s="31" t="n">
        <x:v>0.010143</x:v>
      </x:c>
      <x:c r="O13" s="29" t="n">
        <x:v>1296</x:v>
      </x:c>
      <x:c r="P13" s="29" t="n">
        <x:v>1</x:v>
      </x:c>
      <x:c r="Q13" s="29" t="n">
        <x:v>1</x:v>
      </x:c>
      <x:c r="R13" s="29" t="n">
        <x:v>1</x:v>
      </x:c>
      <x:c r="S13" s="29" t="n">
        <x:v>1</x:v>
      </x:c>
      <x:c r="T13" s="29" t="n">
        <x:v>0</x:v>
      </x:c>
      <x:c r="U13" s="29" t="str">
        <x:v>E</x:v>
      </x:c>
      <x:c r="V13" s="29" t="str">
        <x:v>D+E</x:v>
      </x:c>
      <x:c r="W13" s="29" t="str">
        <x:v>E→D</x:v>
      </x:c>
      <x:c r="X13" s="29" t="n">
        <x:v>1</x:v>
      </x:c>
      <x:c r="Y13" s="29" t="n">
        <x:v>1</x:v>
      </x:c>
      <x:c r="Z13" s="29" t="n">
        <x:v>0</x:v>
      </x:c>
      <x:c r="AA13" s="32" t="str">
        <x:v>Enumerates all candidates, then verifies with Dijkstra.</x:v>
      </x:c>
    </x:row>
    <x:row r="14" ht="34" customHeight="1">
      <x:c r="A14" s="29" t="str">
        <x:v>claude_B05</x:v>
      </x:c>
      <x:c r="B14" s="30" t="n">
        <x:v>46247.929858587966</x:v>
      </x:c>
      <x:c r="C14" s="29" t="str">
        <x:v>A/B base</x:v>
      </x:c>
      <x:c r="D14" s="29" t="str">
        <x:v>claude</x:v>
      </x:c>
      <x:c r="E14" s="29" t="str">
        <x:v>B</x:v>
      </x:c>
      <x:c r="F14" s="29" t="n">
        <x:v>5</x:v>
      </x:c>
      <x:c r="G14" s="29" t="n">
        <x:v>200</x:v>
      </x:c>
      <x:c r="H14" s="29" t="str">
        <x:v>anthropic/claude-sonnet-4.6</x:v>
      </x:c>
      <x:c r="I14" s="29" t="str">
        <x:v>Anthropic</x:v>
      </x:c>
      <x:c r="J14" s="29" t="str">
        <x:v>gen-1786659540-aUm3AwvEg59fF2lJyRfC</x:v>
      </x:c>
      <x:c r="K14" s="29" t="n">
        <x:v>161</x:v>
      </x:c>
      <x:c r="L14" s="29" t="n">
        <x:v>610</x:v>
      </x:c>
      <x:c r="M14" s="29" t="n">
        <x:v>771</x:v>
      </x:c>
      <x:c r="N14" s="31" t="n">
        <x:v>0.009633</x:v>
      </x:c>
      <x:c r="O14" s="29" t="n">
        <x:v>1269</x:v>
      </x:c>
      <x:c r="P14" s="29" t="n">
        <x:v>1</x:v>
      </x:c>
      <x:c r="Q14" s="29" t="n">
        <x:v>1</x:v>
      </x:c>
      <x:c r="R14" s="29" t="n">
        <x:v>1</x:v>
      </x:c>
      <x:c r="S14" s="29" t="n">
        <x:v>1</x:v>
      </x:c>
      <x:c r="T14" s="29" t="n">
        <x:v>0</x:v>
      </x:c>
      <x:c r="U14" s="29" t="str">
        <x:v>E</x:v>
      </x:c>
      <x:c r="V14" s="29" t="str">
        <x:v>D+E</x:v>
      </x:c>
      <x:c r="W14" s="29" t="str">
        <x:v>E→D</x:v>
      </x:c>
      <x:c r="X14" s="29" t="n">
        <x:v>1</x:v>
      </x:c>
      <x:c r="Y14" s="29" t="n">
        <x:v>1</x:v>
      </x:c>
      <x:c r="Z14" s="29" t="n">
        <x:v>0</x:v>
      </x:c>
      <x:c r="AA14" s="32" t="str">
        <x:v>Enumerates all candidates, then verifies with Dijkstra.</x:v>
      </x:c>
    </x:row>
    <x:row r="15" ht="34" customHeight="1">
      <x:c r="A15" s="29" t="str">
        <x:v>mistral_A01</x:v>
      </x:c>
      <x:c r="B15" s="30" t="n">
        <x:v>46247.92998112269</x:v>
      </x:c>
      <x:c r="C15" s="29" t="str">
        <x:v>A/B base</x:v>
      </x:c>
      <x:c r="D15" s="29" t="str">
        <x:v>mistral</x:v>
      </x:c>
      <x:c r="E15" s="29" t="str">
        <x:v>A</x:v>
      </x:c>
      <x:c r="F15" s="29" t="n">
        <x:v>1</x:v>
      </x:c>
      <x:c r="G15" s="29" t="n">
        <x:v>200</x:v>
      </x:c>
      <x:c r="H15" s="29" t="str">
        <x:v>mistralai/mistral-large-2512</x:v>
      </x:c>
      <x:c r="I15" s="29" t="str">
        <x:v>Mistral</x:v>
      </x:c>
      <x:c r="J15" s="29" t="str">
        <x:v>gen-1786659551-Hj1AjDtOeBWiAowk43Fg</x:v>
      </x:c>
      <x:c r="K15" s="29" t="n">
        <x:v>148</x:v>
      </x:c>
      <x:c r="L15" s="29" t="n">
        <x:v>1081</x:v>
      </x:c>
      <x:c r="M15" s="29" t="n">
        <x:v>1229</x:v>
      </x:c>
      <x:c r="N15" s="31" t="n">
        <x:v>0.0016955</x:v>
      </x:c>
      <x:c r="O15" s="29" t="n">
        <x:v>3470</x:v>
      </x:c>
      <x:c r="P15" s="29" t="n">
        <x:v>1</x:v>
      </x:c>
      <x:c r="Q15" s="29" t="n">
        <x:v>1</x:v>
      </x:c>
      <x:c r="R15" s="29" t="n">
        <x:v>1</x:v>
      </x:c>
      <x:c r="S15" s="29" t="n">
        <x:v>1</x:v>
      </x:c>
      <x:c r="T15" s="29" t="n">
        <x:v>0</x:v>
      </x:c>
      <x:c r="U15" s="29" t="str">
        <x:v>E</x:v>
      </x:c>
      <x:c r="V15" s="29" t="str">
        <x:v>E</x:v>
      </x:c>
      <x:c r="W15" s="29" t="str">
        <x:v>E</x:v>
      </x:c>
      <x:c r="X15" s="29" t="n">
        <x:v>1</x:v>
      </x:c>
      <x:c r="Y15" s="29" t="n">
        <x:v>1</x:v>
      </x:c>
      <x:c r="Z15" s="29" t="n">
        <x:v>0</x:v>
      </x:c>
      <x:c r="AA15" s="32" t="str">
        <x:v>Explicit exhaustive enumeration of all S–T paths.</x:v>
      </x:c>
    </x:row>
    <x:row r="16" ht="34" customHeight="1">
      <x:c r="A16" s="29" t="str">
        <x:v>mistral_B01</x:v>
      </x:c>
      <x:c r="B16" s="30" t="n">
        <x:v>46247.93013853009</x:v>
      </x:c>
      <x:c r="C16" s="29" t="str">
        <x:v>A/B base</x:v>
      </x:c>
      <x:c r="D16" s="29" t="str">
        <x:v>mistral</x:v>
      </x:c>
      <x:c r="E16" s="29" t="str">
        <x:v>B</x:v>
      </x:c>
      <x:c r="F16" s="29" t="n">
        <x:v>1</x:v>
      </x:c>
      <x:c r="G16" s="29" t="n">
        <x:v>200</x:v>
      </x:c>
      <x:c r="H16" s="29" t="str">
        <x:v>mistralai/mistral-large-2512</x:v>
      </x:c>
      <x:c r="I16" s="29" t="str">
        <x:v>Mistral</x:v>
      </x:c>
      <x:c r="J16" s="29" t="str">
        <x:v>gen-1786659564-nPqHzx3F7e8XITlqp7MQ</x:v>
      </x:c>
      <x:c r="K16" s="29" t="n">
        <x:v>148</x:v>
      </x:c>
      <x:c r="L16" s="29" t="n">
        <x:v>2069</x:v>
      </x:c>
      <x:c r="M16" s="29" t="n">
        <x:v>2217</x:v>
      </x:c>
      <x:c r="N16" s="31" t="n">
        <x:v>0.0031775</x:v>
      </x:c>
      <x:c r="O16" s="29" t="n">
        <x:v>6069</x:v>
      </x:c>
      <x:c r="P16" s="29" t="n">
        <x:v>1</x:v>
      </x:c>
      <x:c r="Q16" s="29" t="n">
        <x:v>1</x:v>
      </x:c>
      <x:c r="R16" s="29" t="n">
        <x:v>1</x:v>
      </x:c>
      <x:c r="S16" s="29" t="n">
        <x:v>1</x:v>
      </x:c>
      <x:c r="T16" s="29" t="n">
        <x:v>0</x:v>
      </x:c>
      <x:c r="U16" s="29" t="str">
        <x:v>D</x:v>
      </x:c>
      <x:c r="V16" s="29" t="str">
        <x:v>D+E</x:v>
      </x:c>
      <x:c r="W16" s="29" t="str">
        <x:v>D→E</x:v>
      </x:c>
      <x:c r="X16" s="29" t="n">
        <x:v>1</x:v>
      </x:c>
      <x:c r="Y16" s="29" t="n">
        <x:v>1</x:v>
      </x:c>
      <x:c r="Z16" s="29" t="n">
        <x:v>0</x:v>
      </x:c>
      <x:c r="AA16" s="32" t="str">
        <x:v>Priority-queue/Dijkstra trace followed by verification of all candidates.</x:v>
      </x:c>
    </x:row>
    <x:row r="17" ht="34" customHeight="1">
      <x:c r="A17" s="29" t="str">
        <x:v>mistral_B02</x:v>
      </x:c>
      <x:c r="B17" s="30" t="n">
        <x:v>46247.930426875</x:v>
      </x:c>
      <x:c r="C17" s="29" t="str">
        <x:v>A/B base</x:v>
      </x:c>
      <x:c r="D17" s="29" t="str">
        <x:v>mistral</x:v>
      </x:c>
      <x:c r="E17" s="29" t="str">
        <x:v>B</x:v>
      </x:c>
      <x:c r="F17" s="29" t="n">
        <x:v>2</x:v>
      </x:c>
      <x:c r="G17" s="29" t="n">
        <x:v>200</x:v>
      </x:c>
      <x:c r="H17" s="29" t="str">
        <x:v>mistralai/mistral-large-2512</x:v>
      </x:c>
      <x:c r="I17" s="29" t="str">
        <x:v>Mistral</x:v>
      </x:c>
      <x:c r="J17" s="29" t="str">
        <x:v>gen-1786659589-WxFrxFuea4GCaK9hy00G</x:v>
      </x:c>
      <x:c r="K17" s="29" t="n">
        <x:v>148</x:v>
      </x:c>
      <x:c r="L17" s="29" t="n">
        <x:v>1361</x:v>
      </x:c>
      <x:c r="M17" s="29" t="n">
        <x:v>1509</x:v>
      </x:c>
      <x:c r="N17" s="31" t="n">
        <x:v>0.0020579</x:v>
      </x:c>
      <x:c r="O17" s="29" t="n">
        <x:v>4829</x:v>
      </x:c>
      <x:c r="P17" s="29" t="n">
        <x:v>1</x:v>
      </x:c>
      <x:c r="Q17" s="29" t="n">
        <x:v>1</x:v>
      </x:c>
      <x:c r="R17" s="29" t="n">
        <x:v>1</x:v>
      </x:c>
      <x:c r="S17" s="29" t="n">
        <x:v>1</x:v>
      </x:c>
      <x:c r="T17" s="29" t="n">
        <x:v>0</x:v>
      </x:c>
      <x:c r="U17" s="29" t="str">
        <x:v>E</x:v>
      </x:c>
      <x:c r="V17" s="29" t="str">
        <x:v>E</x:v>
      </x:c>
      <x:c r="W17" s="29" t="str">
        <x:v>E</x:v>
      </x:c>
      <x:c r="X17" s="29" t="n">
        <x:v>1</x:v>
      </x:c>
      <x:c r="Y17" s="29" t="n">
        <x:v>1</x:v>
      </x:c>
      <x:c r="Z17" s="29" t="n">
        <x:v>0</x:v>
      </x:c>
      <x:c r="AA17" s="32" t="str">
        <x:v>Explicit exhaustive enumeration of all S–T paths.</x:v>
      </x:c>
    </x:row>
    <x:row r="18" ht="34" customHeight="1">
      <x:c r="A18" s="29" t="str">
        <x:v>mistral_A02</x:v>
      </x:c>
      <x:c r="B18" s="30" t="n">
        <x:v>46247.930624872686</x:v>
      </x:c>
      <x:c r="C18" s="29" t="str">
        <x:v>A/B base</x:v>
      </x:c>
      <x:c r="D18" s="29" t="str">
        <x:v>mistral</x:v>
      </x:c>
      <x:c r="E18" s="29" t="str">
        <x:v>A</x:v>
      </x:c>
      <x:c r="F18" s="29" t="n">
        <x:v>2</x:v>
      </x:c>
      <x:c r="G18" s="29" t="n">
        <x:v>200</x:v>
      </x:c>
      <x:c r="H18" s="29" t="str">
        <x:v>mistralai/mistral-large-2512</x:v>
      </x:c>
      <x:c r="I18" s="29" t="str">
        <x:v>Mistral</x:v>
      </x:c>
      <x:c r="J18" s="29" t="str">
        <x:v>gen-1786659606-Bq5Ier7OSwZhbfUh8K1v</x:v>
      </x:c>
      <x:c r="K18" s="29" t="n">
        <x:v>148</x:v>
      </x:c>
      <x:c r="L18" s="29" t="n">
        <x:v>1110</x:v>
      </x:c>
      <x:c r="M18" s="29" t="n">
        <x:v>1258</x:v>
      </x:c>
      <x:c r="N18" s="31" t="n">
        <x:v>0.001739</x:v>
      </x:c>
      <x:c r="O18" s="29" t="n">
        <x:v>3657</x:v>
      </x:c>
      <x:c r="P18" s="29" t="n">
        <x:v>1</x:v>
      </x:c>
      <x:c r="Q18" s="29" t="n">
        <x:v>1</x:v>
      </x:c>
      <x:c r="R18" s="29" t="n">
        <x:v>1</x:v>
      </x:c>
      <x:c r="S18" s="29" t="n">
        <x:v>1</x:v>
      </x:c>
      <x:c r="T18" s="29" t="n">
        <x:v>0</x:v>
      </x:c>
      <x:c r="U18" s="29" t="str">
        <x:v>E</x:v>
      </x:c>
      <x:c r="V18" s="29" t="str">
        <x:v>E</x:v>
      </x:c>
      <x:c r="W18" s="29" t="str">
        <x:v>E</x:v>
      </x:c>
      <x:c r="X18" s="29" t="n">
        <x:v>1</x:v>
      </x:c>
      <x:c r="Y18" s="29" t="n">
        <x:v>1</x:v>
      </x:c>
      <x:c r="Z18" s="29" t="n">
        <x:v>0</x:v>
      </x:c>
      <x:c r="AA18" s="32" t="str">
        <x:v>Explicit exhaustive enumeration of all S–T paths.</x:v>
      </x:c>
    </x:row>
    <x:row r="19" ht="34" customHeight="1">
      <x:c r="A19" s="29" t="str">
        <x:v>mistral_B03</x:v>
      </x:c>
      <x:c r="B19" s="30" t="n">
        <x:v>46247.93078494213</x:v>
      </x:c>
      <x:c r="C19" s="29" t="str">
        <x:v>A/B base</x:v>
      </x:c>
      <x:c r="D19" s="29" t="str">
        <x:v>mistral</x:v>
      </x:c>
      <x:c r="E19" s="29" t="str">
        <x:v>B</x:v>
      </x:c>
      <x:c r="F19" s="29" t="n">
        <x:v>3</x:v>
      </x:c>
      <x:c r="G19" s="29" t="n">
        <x:v>200</x:v>
      </x:c>
      <x:c r="H19" s="29" t="str">
        <x:v>mistralai/mistral-large-2512</x:v>
      </x:c>
      <x:c r="I19" s="29" t="str">
        <x:v>Mistral</x:v>
      </x:c>
      <x:c r="J19" s="29" t="str">
        <x:v>gen-1786659620-NX2eRRhs79MgKSuQfvnt</x:v>
      </x:c>
      <x:c r="K19" s="29" t="n">
        <x:v>148</x:v>
      </x:c>
      <x:c r="L19" s="29" t="n">
        <x:v>1257</x:v>
      </x:c>
      <x:c r="M19" s="29" t="n">
        <x:v>1405</x:v>
      </x:c>
      <x:c r="N19" s="31" t="n">
        <x:v>0.0019595</x:v>
      </x:c>
      <x:c r="O19" s="29" t="n">
        <x:v>3835</x:v>
      </x:c>
      <x:c r="P19" s="29" t="n">
        <x:v>1</x:v>
      </x:c>
      <x:c r="Q19" s="29" t="n">
        <x:v>1</x:v>
      </x:c>
      <x:c r="R19" s="29" t="n">
        <x:v>1</x:v>
      </x:c>
      <x:c r="S19" s="29" t="n">
        <x:v>1</x:v>
      </x:c>
      <x:c r="T19" s="29" t="n">
        <x:v>0</x:v>
      </x:c>
      <x:c r="U19" s="29" t="str">
        <x:v>E</x:v>
      </x:c>
      <x:c r="V19" s="29" t="str">
        <x:v>E</x:v>
      </x:c>
      <x:c r="W19" s="29" t="str">
        <x:v>E</x:v>
      </x:c>
      <x:c r="X19" s="29" t="n">
        <x:v>1</x:v>
      </x:c>
      <x:c r="Y19" s="29" t="n">
        <x:v>1</x:v>
      </x:c>
      <x:c r="Z19" s="29" t="n">
        <x:v>0</x:v>
      </x:c>
      <x:c r="AA19" s="32" t="str">
        <x:v>Explicit exhaustive enumeration of all S–T paths.</x:v>
      </x:c>
    </x:row>
    <x:row r="20" ht="34" customHeight="1">
      <x:c r="A20" s="29" t="str">
        <x:v>mistral_A03</x:v>
      </x:c>
      <x:c r="B20" s="30" t="n">
        <x:v>46247.9309590625</x:v>
      </x:c>
      <x:c r="C20" s="29" t="str">
        <x:v>A/B base</x:v>
      </x:c>
      <x:c r="D20" s="29" t="str">
        <x:v>mistral</x:v>
      </x:c>
      <x:c r="E20" s="29" t="str">
        <x:v>A</x:v>
      </x:c>
      <x:c r="F20" s="29" t="n">
        <x:v>3</x:v>
      </x:c>
      <x:c r="G20" s="29" t="n">
        <x:v>200</x:v>
      </x:c>
      <x:c r="H20" s="29" t="str">
        <x:v>mistralai/mistral-large-2512</x:v>
      </x:c>
      <x:c r="I20" s="29" t="str">
        <x:v>Mistral</x:v>
      </x:c>
      <x:c r="J20" s="29" t="str">
        <x:v>gen-1786659635-Af17KVLk48rBpcAPVeV1</x:v>
      </x:c>
      <x:c r="K20" s="29" t="n">
        <x:v>148</x:v>
      </x:c>
      <x:c r="L20" s="29" t="n">
        <x:v>1171</x:v>
      </x:c>
      <x:c r="M20" s="29" t="n">
        <x:v>1319</x:v>
      </x:c>
      <x:c r="N20" s="31" t="n">
        <x:v>0.0018305</x:v>
      </x:c>
      <x:c r="O20" s="29" t="n">
        <x:v>3810</x:v>
      </x:c>
      <x:c r="P20" s="29" t="n">
        <x:v>1</x:v>
      </x:c>
      <x:c r="Q20" s="29" t="n">
        <x:v>1</x:v>
      </x:c>
      <x:c r="R20" s="29" t="n">
        <x:v>1</x:v>
      </x:c>
      <x:c r="S20" s="29" t="n">
        <x:v>1</x:v>
      </x:c>
      <x:c r="T20" s="29" t="n">
        <x:v>0</x:v>
      </x:c>
      <x:c r="U20" s="29" t="str">
        <x:v>E</x:v>
      </x:c>
      <x:c r="V20" s="29" t="str">
        <x:v>E</x:v>
      </x:c>
      <x:c r="W20" s="29" t="str">
        <x:v>E</x:v>
      </x:c>
      <x:c r="X20" s="29" t="n">
        <x:v>1</x:v>
      </x:c>
      <x:c r="Y20" s="29" t="n">
        <x:v>1</x:v>
      </x:c>
      <x:c r="Z20" s="29" t="n">
        <x:v>0</x:v>
      </x:c>
      <x:c r="AA20" s="32" t="str">
        <x:v>Explicit exhaustive enumeration of all S–T paths.</x:v>
      </x:c>
    </x:row>
    <x:row r="21" ht="34" customHeight="1">
      <x:c r="A21" s="29" t="str">
        <x:v>mistral_A04</x:v>
      </x:c>
      <x:c r="B21" s="30" t="n">
        <x:v>46247.931129571756</x:v>
      </x:c>
      <x:c r="C21" s="29" t="str">
        <x:v>A/B base</x:v>
      </x:c>
      <x:c r="D21" s="29" t="str">
        <x:v>mistral</x:v>
      </x:c>
      <x:c r="E21" s="29" t="str">
        <x:v>A</x:v>
      </x:c>
      <x:c r="F21" s="29" t="n">
        <x:v>4</x:v>
      </x:c>
      <x:c r="G21" s="29" t="n">
        <x:v>200</x:v>
      </x:c>
      <x:c r="H21" s="29" t="str">
        <x:v>mistralai/mistral-large-2512</x:v>
      </x:c>
      <x:c r="I21" s="29" t="str">
        <x:v>Mistral</x:v>
      </x:c>
      <x:c r="J21" s="29" t="str">
        <x:v>gen-1786659650-GxzLL86QnQXyhT2vrUvJ</x:v>
      </x:c>
      <x:c r="K21" s="29" t="n">
        <x:v>148</x:v>
      </x:c>
      <x:c r="L21" s="29" t="n">
        <x:v>1690</x:v>
      </x:c>
      <x:c r="M21" s="29" t="n">
        <x:v>1838</x:v>
      </x:c>
      <x:c r="N21" s="31" t="n">
        <x:v>0.002609</x:v>
      </x:c>
      <x:c r="O21" s="29" t="n">
        <x:v>5342</x:v>
      </x:c>
      <x:c r="P21" s="29" t="n">
        <x:v>1</x:v>
      </x:c>
      <x:c r="Q21" s="29" t="n">
        <x:v>1</x:v>
      </x:c>
      <x:c r="R21" s="29" t="n">
        <x:v>1</x:v>
      </x:c>
      <x:c r="S21" s="29" t="n">
        <x:v>1</x:v>
      </x:c>
      <x:c r="T21" s="29" t="n">
        <x:v>0</x:v>
      </x:c>
      <x:c r="U21" s="29" t="str">
        <x:v>D</x:v>
      </x:c>
      <x:c r="V21" s="29" t="str">
        <x:v>D+E</x:v>
      </x:c>
      <x:c r="W21" s="29" t="str">
        <x:v>D→E</x:v>
      </x:c>
      <x:c r="X21" s="29" t="n">
        <x:v>1</x:v>
      </x:c>
      <x:c r="Y21" s="29" t="n">
        <x:v>1</x:v>
      </x:c>
      <x:c r="Z21" s="29" t="n">
        <x:v>0</x:v>
      </x:c>
      <x:c r="AA21" s="32" t="str">
        <x:v>Full Dijkstra execution followed by verification of alternative paths.</x:v>
      </x:c>
    </x:row>
    <x:row r="22" ht="34" customHeight="1">
      <x:c r="A22" s="29" t="str">
        <x:v>mistral_B04</x:v>
      </x:c>
      <x:c r="B22" s="30" t="n">
        <x:v>46247.9313684838</x:v>
      </x:c>
      <x:c r="C22" s="29" t="str">
        <x:v>A/B base</x:v>
      </x:c>
      <x:c r="D22" s="29" t="str">
        <x:v>mistral</x:v>
      </x:c>
      <x:c r="E22" s="29" t="str">
        <x:v>B</x:v>
      </x:c>
      <x:c r="F22" s="29" t="n">
        <x:v>4</x:v>
      </x:c>
      <x:c r="G22" s="29" t="n">
        <x:v>200</x:v>
      </x:c>
      <x:c r="H22" s="29" t="str">
        <x:v>mistralai/mistral-large-2512</x:v>
      </x:c>
      <x:c r="I22" s="29" t="str">
        <x:v>Mistral</x:v>
      </x:c>
      <x:c r="J22" s="29" t="str">
        <x:v>gen-1786659671-sikoqZA8mPbF2atIbmw5</x:v>
      </x:c>
      <x:c r="K22" s="29" t="n">
        <x:v>148</x:v>
      </x:c>
      <x:c r="L22" s="29" t="n">
        <x:v>1340</x:v>
      </x:c>
      <x:c r="M22" s="29" t="n">
        <x:v>1488</x:v>
      </x:c>
      <x:c r="N22" s="31" t="n">
        <x:v>0.002084</x:v>
      </x:c>
      <x:c r="O22" s="29" t="n">
        <x:v>4235</x:v>
      </x:c>
      <x:c r="P22" s="29" t="n">
        <x:v>1</x:v>
      </x:c>
      <x:c r="Q22" s="29" t="n">
        <x:v>1</x:v>
      </x:c>
      <x:c r="R22" s="29" t="n">
        <x:v>1</x:v>
      </x:c>
      <x:c r="S22" s="29" t="n">
        <x:v>1</x:v>
      </x:c>
      <x:c r="T22" s="29" t="n">
        <x:v>0</x:v>
      </x:c>
      <x:c r="U22" s="29" t="str">
        <x:v>E</x:v>
      </x:c>
      <x:c r="V22" s="29" t="str">
        <x:v>E</x:v>
      </x:c>
      <x:c r="W22" s="29" t="str">
        <x:v>E</x:v>
      </x:c>
      <x:c r="X22" s="29" t="n">
        <x:v>1</x:v>
      </x:c>
      <x:c r="Y22" s="29" t="n">
        <x:v>1</x:v>
      </x:c>
      <x:c r="Z22" s="29" t="n">
        <x:v>0</x:v>
      </x:c>
      <x:c r="AA22" s="32" t="str">
        <x:v>Explicit exhaustive enumeration of all S–T paths.</x:v>
      </x:c>
    </x:row>
    <x:row r="23" ht="34" customHeight="1">
      <x:c r="A23" s="29" t="str">
        <x:v>mistral_A05</x:v>
      </x:c>
      <x:c r="B23" s="30" t="n">
        <x:v>46247.931563391205</x:v>
      </x:c>
      <x:c r="C23" s="29" t="str">
        <x:v>A/B base</x:v>
      </x:c>
      <x:c r="D23" s="29" t="str">
        <x:v>mistral</x:v>
      </x:c>
      <x:c r="E23" s="29" t="str">
        <x:v>A</x:v>
      </x:c>
      <x:c r="F23" s="29" t="n">
        <x:v>5</x:v>
      </x:c>
      <x:c r="G23" s="29" t="n">
        <x:v>200</x:v>
      </x:c>
      <x:c r="H23" s="29" t="str">
        <x:v>mistralai/mistral-large-2512</x:v>
      </x:c>
      <x:c r="I23" s="29" t="str">
        <x:v>Mistral</x:v>
      </x:c>
      <x:c r="J23" s="29" t="str">
        <x:v>gen-1786659687-JGvURubekRKnm3NKWqKk</x:v>
      </x:c>
      <x:c r="K23" s="29" t="n">
        <x:v>148</x:v>
      </x:c>
      <x:c r="L23" s="29" t="n">
        <x:v>1510</x:v>
      </x:c>
      <x:c r="M23" s="29" t="n">
        <x:v>1658</x:v>
      </x:c>
      <x:c r="N23" s="31" t="n">
        <x:v>0.002339</x:v>
      </x:c>
      <x:c r="O23" s="29" t="n">
        <x:v>5029</x:v>
      </x:c>
      <x:c r="P23" s="29" t="n">
        <x:v>1</x:v>
      </x:c>
      <x:c r="Q23" s="29" t="n">
        <x:v>1</x:v>
      </x:c>
      <x:c r="R23" s="29" t="n">
        <x:v>1</x:v>
      </x:c>
      <x:c r="S23" s="29" t="n">
        <x:v>1</x:v>
      </x:c>
      <x:c r="T23" s="29" t="n">
        <x:v>0</x:v>
      </x:c>
      <x:c r="U23" s="29" t="str">
        <x:v>D</x:v>
      </x:c>
      <x:c r="V23" s="29" t="str">
        <x:v>D+E</x:v>
      </x:c>
      <x:c r="W23" s="29" t="str">
        <x:v>D→E</x:v>
      </x:c>
      <x:c r="X23" s="29" t="n">
        <x:v>1</x:v>
      </x:c>
      <x:c r="Y23" s="29" t="n">
        <x:v>1</x:v>
      </x:c>
      <x:c r="Z23" s="29" t="n">
        <x:v>0</x:v>
      </x:c>
      <x:c r="AA23" s="32" t="str">
        <x:v>Full Dijkstra execution followed by verification of the nonminimum path.</x:v>
      </x:c>
    </x:row>
    <x:row r="24" ht="34" customHeight="1">
      <x:c r="A24" s="29" t="str">
        <x:v>mistral_B05</x:v>
      </x:c>
      <x:c r="B24" s="30" t="n">
        <x:v>46247.9317841088</x:v>
      </x:c>
      <x:c r="C24" s="29" t="str">
        <x:v>A/B base</x:v>
      </x:c>
      <x:c r="D24" s="29" t="str">
        <x:v>mistral</x:v>
      </x:c>
      <x:c r="E24" s="29" t="str">
        <x:v>B</x:v>
      </x:c>
      <x:c r="F24" s="29" t="n">
        <x:v>5</x:v>
      </x:c>
      <x:c r="G24" s="29" t="n">
        <x:v>200</x:v>
      </x:c>
      <x:c r="H24" s="29" t="str">
        <x:v>mistralai/mistral-large-2512</x:v>
      </x:c>
      <x:c r="I24" s="29" t="str">
        <x:v>Mistral</x:v>
      </x:c>
      <x:c r="J24" s="29" t="str">
        <x:v>gen-1786659707-9wHYrXnCvm8YuLUTKaF0</x:v>
      </x:c>
      <x:c r="K24" s="29" t="n">
        <x:v>148</x:v>
      </x:c>
      <x:c r="L24" s="29" t="n">
        <x:v>1184</x:v>
      </x:c>
      <x:c r="M24" s="29" t="n">
        <x:v>1332</x:v>
      </x:c>
      <x:c r="N24" s="31" t="n">
        <x:v>0.00185</x:v>
      </x:c>
      <x:c r="O24" s="29" t="n">
        <x:v>3888</x:v>
      </x:c>
      <x:c r="P24" s="29" t="n">
        <x:v>1</x:v>
      </x:c>
      <x:c r="Q24" s="29" t="n">
        <x:v>1</x:v>
      </x:c>
      <x:c r="R24" s="29" t="n">
        <x:v>1</x:v>
      </x:c>
      <x:c r="S24" s="29" t="n">
        <x:v>1</x:v>
      </x:c>
      <x:c r="T24" s="29" t="n">
        <x:v>0</x:v>
      </x:c>
      <x:c r="U24" s="29" t="str">
        <x:v>E</x:v>
      </x:c>
      <x:c r="V24" s="29" t="str">
        <x:v>E</x:v>
      </x:c>
      <x:c r="W24" s="29" t="str">
        <x:v>E</x:v>
      </x:c>
      <x:c r="X24" s="29" t="n">
        <x:v>1</x:v>
      </x:c>
      <x:c r="Y24" s="29" t="n">
        <x:v>1</x:v>
      </x:c>
      <x:c r="Z24" s="29" t="n">
        <x:v>0</x:v>
      </x:c>
      <x:c r="AA24" s="32" t="str">
        <x:v>Explicit exhaustive enumeration of all S–T paths.</x:v>
      </x:c>
    </x:row>
    <x:row r="25" ht="34" customHeight="1">
      <x:c r="A25" s="29" t="str">
        <x:v>deepseek_A01</x:v>
      </x:c>
      <x:c r="B25" s="30" t="n">
        <x:v>46247.93195377315</x:v>
      </x:c>
      <x:c r="C25" s="29" t="str">
        <x:v>A/B base</x:v>
      </x:c>
      <x:c r="D25" s="29" t="str">
        <x:v>deepseek</x:v>
      </x:c>
      <x:c r="E25" s="29" t="str">
        <x:v>A</x:v>
      </x:c>
      <x:c r="F25" s="29" t="n">
        <x:v>1</x:v>
      </x:c>
      <x:c r="G25" s="29" t="n">
        <x:v>200</x:v>
      </x:c>
      <x:c r="H25" s="29" t="str">
        <x:v>deepseek/deepseek-v3.2-exp</x:v>
      </x:c>
      <x:c r="I25" s="29" t="str">
        <x:v>SiliconFlow</x:v>
      </x:c>
      <x:c r="J25" s="29" t="str">
        <x:v>gen-1786659721-XjoQsckTc5E9hp30PbWy</x:v>
      </x:c>
      <x:c r="K25" s="29" t="n">
        <x:v>168</x:v>
      </x:c>
      <x:c r="L25" s="29" t="n">
        <x:v>635</x:v>
      </x:c>
      <x:c r="M25" s="29" t="n">
        <x:v>803</x:v>
      </x:c>
      <x:c r="N25" s="31" t="n">
        <x:v>0.00030571</x:v>
      </x:c>
      <x:c r="O25" s="29" t="n">
        <x:v>2390</x:v>
      </x:c>
      <x:c r="P25" s="29" t="n">
        <x:v>1</x:v>
      </x:c>
      <x:c r="Q25" s="29" t="n">
        <x:v>1</x:v>
      </x:c>
      <x:c r="R25" s="29" t="n">
        <x:v>1</x:v>
      </x:c>
      <x:c r="S25" s="29" t="n">
        <x:v>1</x:v>
      </x:c>
      <x:c r="T25" s="29" t="n">
        <x:v>0</x:v>
      </x:c>
      <x:c r="U25" s="29" t="str">
        <x:v>E</x:v>
      </x:c>
      <x:c r="V25" s="29" t="str">
        <x:v>E</x:v>
      </x:c>
      <x:c r="W25" s="29" t="str">
        <x:v>E</x:v>
      </x:c>
      <x:c r="X25" s="29" t="n">
        <x:v>1</x:v>
      </x:c>
      <x:c r="Y25" s="29" t="n">
        <x:v>1</x:v>
      </x:c>
      <x:c r="Z25" s="29" t="n">
        <x:v>0</x:v>
      </x:c>
      <x:c r="AA25" s="32" t="str">
        <x:v>Mentions Dijkstra as an option but actually performs exhaustive enumeration.</x:v>
      </x:c>
    </x:row>
    <x:row r="26" ht="34" customHeight="1">
      <x:c r="A26" s="29" t="str">
        <x:v>deepseek_B01</x:v>
      </x:c>
      <x:c r="B26" s="30" t="n">
        <x:v>46247.93222840278</x:v>
      </x:c>
      <x:c r="C26" s="29" t="str">
        <x:v>A/B base</x:v>
      </x:c>
      <x:c r="D26" s="29" t="str">
        <x:v>deepseek</x:v>
      </x:c>
      <x:c r="E26" s="29" t="str">
        <x:v>B</x:v>
      </x:c>
      <x:c r="F26" s="29" t="n">
        <x:v>1</x:v>
      </x:c>
      <x:c r="G26" s="29" t="n">
        <x:v>200</x:v>
      </x:c>
      <x:c r="H26" s="29" t="str">
        <x:v>deepseek/deepseek-v3.2-exp</x:v>
      </x:c>
      <x:c r="I26" s="29" t="str">
        <x:v>SiliconFlow</x:v>
      </x:c>
      <x:c r="J26" s="29" t="str">
        <x:v>gen-1786659745-RpbmT88hWBteWBXU42pn</x:v>
      </x:c>
      <x:c r="K26" s="29" t="n">
        <x:v>168</x:v>
      </x:c>
      <x:c r="L26" s="29" t="n">
        <x:v>871</x:v>
      </x:c>
      <x:c r="M26" s="29" t="n">
        <x:v>1039</x:v>
      </x:c>
      <x:c r="N26" s="31" t="n">
        <x:v>0.00040247</x:v>
      </x:c>
      <x:c r="O26" s="29" t="n">
        <x:v>3259</x:v>
      </x:c>
      <x:c r="P26" s="29" t="n">
        <x:v>1</x:v>
      </x:c>
      <x:c r="Q26" s="29" t="n">
        <x:v>1</x:v>
      </x:c>
      <x:c r="R26" s="29" t="n">
        <x:v>1</x:v>
      </x:c>
      <x:c r="S26" s="29" t="n">
        <x:v>1</x:v>
      </x:c>
      <x:c r="T26" s="29" t="n">
        <x:v>0</x:v>
      </x:c>
      <x:c r="U26" s="29" t="str">
        <x:v>E</x:v>
      </x:c>
      <x:c r="V26" s="29" t="str">
        <x:v>D+E</x:v>
      </x:c>
      <x:c r="W26" s="29" t="str">
        <x:v>E→D</x:v>
      </x:c>
      <x:c r="X26" s="29" t="n">
        <x:v>1</x:v>
      </x:c>
      <x:c r="Y26" s="29" t="n">
        <x:v>1</x:v>
      </x:c>
      <x:c r="Z26" s="29" t="n">
        <x:v>0</x:v>
      </x:c>
      <x:c r="AA26" s="32" t="str">
        <x:v>Enumerates all candidates, then verifies with Dijkstra.</x:v>
      </x:c>
    </x:row>
    <x:row r="27" ht="34" customHeight="1">
      <x:c r="A27" s="29" t="str">
        <x:v>deepseek_B02</x:v>
      </x:c>
      <x:c r="B27" s="30" t="n">
        <x:v>46247.932617199076</x:v>
      </x:c>
      <x:c r="C27" s="29" t="str">
        <x:v>A/B base</x:v>
      </x:c>
      <x:c r="D27" s="29" t="str">
        <x:v>deepseek</x:v>
      </x:c>
      <x:c r="E27" s="29" t="str">
        <x:v>B</x:v>
      </x:c>
      <x:c r="F27" s="29" t="n">
        <x:v>2</x:v>
      </x:c>
      <x:c r="G27" s="29" t="n">
        <x:v>200</x:v>
      </x:c>
      <x:c r="H27" s="29" t="str">
        <x:v>deepseek/deepseek-v3.2-exp</x:v>
      </x:c>
      <x:c r="I27" s="29" t="str">
        <x:v>SiliconFlow</x:v>
      </x:c>
      <x:c r="J27" s="29" t="str">
        <x:v>gen-1786659779-KSgL0D0nA8GAig384dVa</x:v>
      </x:c>
      <x:c r="K27" s="29" t="n">
        <x:v>168</x:v>
      </x:c>
      <x:c r="L27" s="29" t="n">
        <x:v>838</x:v>
      </x:c>
      <x:c r="M27" s="29" t="n">
        <x:v>1006</x:v>
      </x:c>
      <x:c r="N27" s="31" t="n">
        <x:v>0.00038894</x:v>
      </x:c>
      <x:c r="O27" s="29" t="n">
        <x:v>3002</x:v>
      </x:c>
      <x:c r="P27" s="29" t="n">
        <x:v>1</x:v>
      </x:c>
      <x:c r="Q27" s="29" t="n">
        <x:v>1</x:v>
      </x:c>
      <x:c r="R27" s="29" t="n">
        <x:v>1</x:v>
      </x:c>
      <x:c r="S27" s="29" t="n">
        <x:v>1</x:v>
      </x:c>
      <x:c r="T27" s="29" t="n">
        <x:v>0</x:v>
      </x:c>
      <x:c r="U27" s="29" t="str">
        <x:v>D</x:v>
      </x:c>
      <x:c r="V27" s="29" t="str">
        <x:v>D+E</x:v>
      </x:c>
      <x:c r="W27" s="29" t="str">
        <x:v>D→E</x:v>
      </x:c>
      <x:c r="X27" s="29" t="n">
        <x:v>1</x:v>
      </x:c>
      <x:c r="Y27" s="29" t="n">
        <x:v>1</x:v>
      </x:c>
      <x:c r="Z27" s="29" t="n">
        <x:v>0</x:v>
      </x:c>
      <x:c r="AA27" s="32" t="str">
        <x:v>Dijkstra first, followed by brute-force enumeration.</x:v>
      </x:c>
    </x:row>
    <x:row r="28" ht="34" customHeight="1">
      <x:c r="A28" s="29" t="str">
        <x:v>deepseek_A02</x:v>
      </x:c>
      <x:c r="B28" s="30" t="n">
        <x:v>46247.932994027775</x:v>
      </x:c>
      <x:c r="C28" s="29" t="str">
        <x:v>A/B base</x:v>
      </x:c>
      <x:c r="D28" s="29" t="str">
        <x:v>deepseek</x:v>
      </x:c>
      <x:c r="E28" s="29" t="str">
        <x:v>A</x:v>
      </x:c>
      <x:c r="F28" s="29" t="n">
        <x:v>2</x:v>
      </x:c>
      <x:c r="G28" s="29" t="n">
        <x:v>200</x:v>
      </x:c>
      <x:c r="H28" s="29" t="str">
        <x:v>deepseek/deepseek-v3.2-exp</x:v>
      </x:c>
      <x:c r="I28" s="29" t="str">
        <x:v>SiliconFlow</x:v>
      </x:c>
      <x:c r="J28" s="29" t="str">
        <x:v>gen-1786659811-m7csTwiIJFsWIMclGknh</x:v>
      </x:c>
      <x:c r="K28" s="29" t="n">
        <x:v>168</x:v>
      </x:c>
      <x:c r="L28" s="29" t="n">
        <x:v>952</x:v>
      </x:c>
      <x:c r="M28" s="29" t="n">
        <x:v>1120</x:v>
      </x:c>
      <x:c r="N28" s="31" t="n">
        <x:v>0.00043568</x:v>
      </x:c>
      <x:c r="O28" s="29" t="n">
        <x:v>3395</x:v>
      </x:c>
      <x:c r="P28" s="29" t="n">
        <x:v>1</x:v>
      </x:c>
      <x:c r="Q28" s="29" t="n">
        <x:v>1</x:v>
      </x:c>
      <x:c r="R28" s="29" t="n">
        <x:v>1</x:v>
      </x:c>
      <x:c r="S28" s="29" t="n">
        <x:v>1</x:v>
      </x:c>
      <x:c r="T28" s="29" t="n">
        <x:v>0</x:v>
      </x:c>
      <x:c r="U28" s="29" t="str">
        <x:v>E</x:v>
      </x:c>
      <x:c r="V28" s="29" t="str">
        <x:v>D+E</x:v>
      </x:c>
      <x:c r="W28" s="29" t="str">
        <x:v>E→D</x:v>
      </x:c>
      <x:c r="X28" s="29" t="n">
        <x:v>1</x:v>
      </x:c>
      <x:c r="Y28" s="29" t="n">
        <x:v>1</x:v>
      </x:c>
      <x:c r="Z28" s="29" t="n">
        <x:v>0</x:v>
      </x:c>
      <x:c r="AA28" s="32" t="str">
        <x:v>Enumerates all candidates, then uses Dijkstra predecessor backtracking.</x:v>
      </x:c>
    </x:row>
    <x:row r="29" ht="34" customHeight="1">
      <x:c r="A29" s="29" t="str">
        <x:v>deepseek_B03</x:v>
      </x:c>
      <x:c r="B29" s="30" t="n">
        <x:v>46247.93340252315</x:v>
      </x:c>
      <x:c r="C29" s="29" t="str">
        <x:v>A/B base</x:v>
      </x:c>
      <x:c r="D29" s="29" t="str">
        <x:v>deepseek</x:v>
      </x:c>
      <x:c r="E29" s="29" t="str">
        <x:v>B</x:v>
      </x:c>
      <x:c r="F29" s="29" t="n">
        <x:v>3</x:v>
      </x:c>
      <x:c r="G29" s="29" t="n">
        <x:v>200</x:v>
      </x:c>
      <x:c r="H29" s="29" t="str">
        <x:v>deepseek/deepseek-v3.2-exp</x:v>
      </x:c>
      <x:c r="I29" s="29" t="str">
        <x:v>SiliconFlow</x:v>
      </x:c>
      <x:c r="J29" s="29" t="str">
        <x:v>gen-1786659846-RxSuFwVhZIJuh0d7QMW1</x:v>
      </x:c>
      <x:c r="K29" s="29" t="n">
        <x:v>168</x:v>
      </x:c>
      <x:c r="L29" s="29" t="n">
        <x:v>915</x:v>
      </x:c>
      <x:c r="M29" s="29" t="n">
        <x:v>1083</x:v>
      </x:c>
      <x:c r="N29" s="31" t="n">
        <x:v>0.00042051</x:v>
      </x:c>
      <x:c r="O29" s="29" t="n">
        <x:v>3374</x:v>
      </x:c>
      <x:c r="P29" s="29" t="n">
        <x:v>1</x:v>
      </x:c>
      <x:c r="Q29" s="29" t="n">
        <x:v>1</x:v>
      </x:c>
      <x:c r="R29" s="29" t="n">
        <x:v>1</x:v>
      </x:c>
      <x:c r="S29" s="29" t="n">
        <x:v>1</x:v>
      </x:c>
      <x:c r="T29" s="29" t="n">
        <x:v>0</x:v>
      </x:c>
      <x:c r="U29" s="29" t="str">
        <x:v>E</x:v>
      </x:c>
      <x:c r="V29" s="29" t="str">
        <x:v>D+E</x:v>
      </x:c>
      <x:c r="W29" s="29" t="str">
        <x:v>E→D</x:v>
      </x:c>
      <x:c r="X29" s="29" t="n">
        <x:v>1</x:v>
      </x:c>
      <x:c r="Y29" s="29" t="n">
        <x:v>1</x:v>
      </x:c>
      <x:c r="Z29" s="29" t="n">
        <x:v>0</x:v>
      </x:c>
      <x:c r="AA29" s="32" t="str">
        <x:v>Enumerates all candidates, then verifies with Dijkstra.</x:v>
      </x:c>
    </x:row>
    <x:row r="30" ht="34" customHeight="1">
      <x:c r="A30" s="29" t="str">
        <x:v>deepseek_A03</x:v>
      </x:c>
      <x:c r="B30" s="30" t="n">
        <x:v>46247.93380728009</x:v>
      </x:c>
      <x:c r="C30" s="29" t="str">
        <x:v>A/B base</x:v>
      </x:c>
      <x:c r="D30" s="29" t="str">
        <x:v>deepseek</x:v>
      </x:c>
      <x:c r="E30" s="29" t="str">
        <x:v>A</x:v>
      </x:c>
      <x:c r="F30" s="29" t="n">
        <x:v>3</x:v>
      </x:c>
      <x:c r="G30" s="29" t="n">
        <x:v>200</x:v>
      </x:c>
      <x:c r="H30" s="29" t="str">
        <x:v>deepseek/deepseek-v3.2-exp</x:v>
      </x:c>
      <x:c r="I30" s="29" t="str">
        <x:v>SiliconFlow</x:v>
      </x:c>
      <x:c r="J30" s="29" t="str">
        <x:v>gen-1786659881-HP1WX6BkIMiQOtFWRykG</x:v>
      </x:c>
      <x:c r="K30" s="29" t="n">
        <x:v>168</x:v>
      </x:c>
      <x:c r="L30" s="29" t="n">
        <x:v>958</x:v>
      </x:c>
      <x:c r="M30" s="29" t="n">
        <x:v>1126</x:v>
      </x:c>
      <x:c r="N30" s="31" t="n">
        <x:v>0.00043814</x:v>
      </x:c>
      <x:c r="O30" s="29" t="n">
        <x:v>3648</x:v>
      </x:c>
      <x:c r="P30" s="29" t="n">
        <x:v>1</x:v>
      </x:c>
      <x:c r="Q30" s="29" t="n">
        <x:v>1</x:v>
      </x:c>
      <x:c r="R30" s="29" t="n">
        <x:v>1</x:v>
      </x:c>
      <x:c r="S30" s="29" t="n">
        <x:v>1</x:v>
      </x:c>
      <x:c r="T30" s="29" t="n">
        <x:v>0</x:v>
      </x:c>
      <x:c r="U30" s="29" t="str">
        <x:v>E</x:v>
      </x:c>
      <x:c r="V30" s="29" t="str">
        <x:v>D+E</x:v>
      </x:c>
      <x:c r="W30" s="29" t="str">
        <x:v>E→D</x:v>
      </x:c>
      <x:c r="X30" s="29" t="n">
        <x:v>1</x:v>
      </x:c>
      <x:c r="Y30" s="29" t="n">
        <x:v>1</x:v>
      </x:c>
      <x:c r="Z30" s="29" t="n">
        <x:v>0</x:v>
      </x:c>
      <x:c r="AA30" s="32" t="str">
        <x:v>Enumerates all candidates, then verifies with Dijkstra.</x:v>
      </x:c>
    </x:row>
    <x:row r="31" ht="34" customHeight="1">
      <x:c r="A31" s="29" t="str">
        <x:v>deepseek_A04</x:v>
      </x:c>
      <x:c r="B31" s="30" t="n">
        <x:v>46247.93421903935</x:v>
      </x:c>
      <x:c r="C31" s="29" t="str">
        <x:v>A/B base</x:v>
      </x:c>
      <x:c r="D31" s="29" t="str">
        <x:v>deepseek</x:v>
      </x:c>
      <x:c r="E31" s="29" t="str">
        <x:v>A</x:v>
      </x:c>
      <x:c r="F31" s="29" t="n">
        <x:v>4</x:v>
      </x:c>
      <x:c r="G31" s="29" t="n">
        <x:v>200</x:v>
      </x:c>
      <x:c r="H31" s="29" t="str">
        <x:v>deepseek/deepseek-v3.2-exp</x:v>
      </x:c>
      <x:c r="I31" s="29" t="str">
        <x:v>SiliconFlow</x:v>
      </x:c>
      <x:c r="J31" s="29" t="str">
        <x:v>gen-1786659917-0SuVbHCiwMdvrTDh2gcL</x:v>
      </x:c>
      <x:c r="K31" s="29" t="n">
        <x:v>168</x:v>
      </x:c>
      <x:c r="L31" s="29" t="n">
        <x:v>850</x:v>
      </x:c>
      <x:c r="M31" s="29" t="n">
        <x:v>1018</x:v>
      </x:c>
      <x:c r="N31" s="31" t="n">
        <x:v>0.00039386</x:v>
      </x:c>
      <x:c r="O31" s="29" t="n">
        <x:v>3238</x:v>
      </x:c>
      <x:c r="P31" s="29" t="n">
        <x:v>1</x:v>
      </x:c>
      <x:c r="Q31" s="29" t="n">
        <x:v>1</x:v>
      </x:c>
      <x:c r="R31" s="29" t="n">
        <x:v>1</x:v>
      </x:c>
      <x:c r="S31" s="29" t="n">
        <x:v>1</x:v>
      </x:c>
      <x:c r="T31" s="29" t="n">
        <x:v>0</x:v>
      </x:c>
      <x:c r="U31" s="29" t="str">
        <x:v>E</x:v>
      </x:c>
      <x:c r="V31" s="29" t="str">
        <x:v>D+E</x:v>
      </x:c>
      <x:c r="W31" s="29" t="str">
        <x:v>E→D</x:v>
      </x:c>
      <x:c r="X31" s="29" t="n">
        <x:v>1</x:v>
      </x:c>
      <x:c r="Y31" s="29" t="n">
        <x:v>1</x:v>
      </x:c>
      <x:c r="Z31" s="29" t="n">
        <x:v>0</x:v>
      </x:c>
      <x:c r="AA31" s="32" t="str">
        <x:v>Enumerates all candidates, then gives a conceptual Dijkstra verification.</x:v>
      </x:c>
    </x:row>
    <x:row r="32" ht="34" customHeight="1">
      <x:c r="A32" s="29" t="str">
        <x:v>deepseek_B04</x:v>
      </x:c>
      <x:c r="B32" s="30" t="n">
        <x:v>46247.93459376157</x:v>
      </x:c>
      <x:c r="C32" s="29" t="str">
        <x:v>A/B base</x:v>
      </x:c>
      <x:c r="D32" s="29" t="str">
        <x:v>deepseek</x:v>
      </x:c>
      <x:c r="E32" s="29" t="str">
        <x:v>B</x:v>
      </x:c>
      <x:c r="F32" s="29" t="n">
        <x:v>4</x:v>
      </x:c>
      <x:c r="G32" s="29" t="n">
        <x:v>200</x:v>
      </x:c>
      <x:c r="H32" s="29" t="str">
        <x:v>deepseek/deepseek-v3.2-exp</x:v>
      </x:c>
      <x:c r="I32" s="29" t="str">
        <x:v>SiliconFlow</x:v>
      </x:c>
      <x:c r="J32" s="29" t="str">
        <x:v>gen-1786659949-bMnvby55PqZIRTJ44v18</x:v>
      </x:c>
      <x:c r="K32" s="29" t="n">
        <x:v>168</x:v>
      </x:c>
      <x:c r="L32" s="29" t="n">
        <x:v>766</x:v>
      </x:c>
      <x:c r="M32" s="29" t="n">
        <x:v>934</x:v>
      </x:c>
      <x:c r="N32" s="31" t="n">
        <x:v>0.00035942</x:v>
      </x:c>
      <x:c r="O32" s="29" t="n">
        <x:v>2887</x:v>
      </x:c>
      <x:c r="P32" s="29" t="n">
        <x:v>1</x:v>
      </x:c>
      <x:c r="Q32" s="29" t="n">
        <x:v>1</x:v>
      </x:c>
      <x:c r="R32" s="29" t="n">
        <x:v>1</x:v>
      </x:c>
      <x:c r="S32" s="29" t="n">
        <x:v>1</x:v>
      </x:c>
      <x:c r="T32" s="29" t="n">
        <x:v>0</x:v>
      </x:c>
      <x:c r="U32" s="29" t="str">
        <x:v>E</x:v>
      </x:c>
      <x:c r="V32" s="29" t="str">
        <x:v>D+E</x:v>
      </x:c>
      <x:c r="W32" s="29" t="str">
        <x:v>E→D</x:v>
      </x:c>
      <x:c r="X32" s="29" t="n">
        <x:v>1</x:v>
      </x:c>
      <x:c r="Y32" s="29" t="n">
        <x:v>1</x:v>
      </x:c>
      <x:c r="Z32" s="29" t="n">
        <x:v>0</x:v>
      </x:c>
      <x:c r="AA32" s="32" t="str">
        <x:v>Enumerates all candidates, then gives a Dijkstra-style verification.</x:v>
      </x:c>
    </x:row>
    <x:row r="33" ht="34" customHeight="1">
      <x:c r="A33" s="29" t="str">
        <x:v>deepseek_A05</x:v>
      </x:c>
      <x:c r="B33" s="30" t="n">
        <x:v>46247.93493887731</x:v>
      </x:c>
      <x:c r="C33" s="29" t="str">
        <x:v>A/B base</x:v>
      </x:c>
      <x:c r="D33" s="29" t="str">
        <x:v>deepseek</x:v>
      </x:c>
      <x:c r="E33" s="29" t="str">
        <x:v>A</x:v>
      </x:c>
      <x:c r="F33" s="29" t="n">
        <x:v>5</x:v>
      </x:c>
      <x:c r="G33" s="29" t="n">
        <x:v>200</x:v>
      </x:c>
      <x:c r="H33" s="29" t="str">
        <x:v>deepseek/deepseek-v3.2-exp</x:v>
      </x:c>
      <x:c r="I33" s="29" t="str">
        <x:v>SiliconFlow</x:v>
      </x:c>
      <x:c r="J33" s="29" t="str">
        <x:v>gen-1786659979-jjHddboSnOaWapVRC5cp</x:v>
      </x:c>
      <x:c r="K33" s="29" t="n">
        <x:v>168</x:v>
      </x:c>
      <x:c r="L33" s="29" t="n">
        <x:v>729</x:v>
      </x:c>
      <x:c r="M33" s="29" t="n">
        <x:v>897</x:v>
      </x:c>
      <x:c r="N33" s="31" t="n">
        <x:v>0.00034425</x:v>
      </x:c>
      <x:c r="O33" s="29" t="n">
        <x:v>2663</x:v>
      </x:c>
      <x:c r="P33" s="29" t="n">
        <x:v>1</x:v>
      </x:c>
      <x:c r="Q33" s="29" t="n">
        <x:v>1</x:v>
      </x:c>
      <x:c r="R33" s="29" t="n">
        <x:v>1</x:v>
      </x:c>
      <x:c r="S33" s="29" t="n">
        <x:v>1</x:v>
      </x:c>
      <x:c r="T33" s="29" t="n">
        <x:v>0</x:v>
      </x:c>
      <x:c r="U33" s="29" t="str">
        <x:v>E</x:v>
      </x:c>
      <x:c r="V33" s="29" t="str">
        <x:v>D+E</x:v>
      </x:c>
      <x:c r="W33" s="29" t="str">
        <x:v>E→D</x:v>
      </x:c>
      <x:c r="X33" s="29" t="n">
        <x:v>1</x:v>
      </x:c>
      <x:c r="Y33" s="29" t="n">
        <x:v>1</x:v>
      </x:c>
      <x:c r="Z33" s="29" t="n">
        <x:v>0</x:v>
      </x:c>
      <x:c r="AA33" s="32" t="str">
        <x:v>Enumerates all candidates, then verifies with Dijkstra.</x:v>
      </x:c>
    </x:row>
    <x:row r="34" ht="34" customHeight="1">
      <x:c r="A34" s="29" t="str">
        <x:v>deepseek_B05</x:v>
      </x:c>
      <x:c r="B34" s="30" t="n">
        <x:v>46247.9352640625</x:v>
      </x:c>
      <x:c r="C34" s="29" t="str">
        <x:v>A/B base</x:v>
      </x:c>
      <x:c r="D34" s="29" t="str">
        <x:v>deepseek</x:v>
      </x:c>
      <x:c r="E34" s="29" t="str">
        <x:v>B</x:v>
      </x:c>
      <x:c r="F34" s="29" t="n">
        <x:v>5</x:v>
      </x:c>
      <x:c r="G34" s="29" t="n">
        <x:v>200</x:v>
      </x:c>
      <x:c r="H34" s="29" t="str">
        <x:v>deepseek/deepseek-v3.2-exp</x:v>
      </x:c>
      <x:c r="I34" s="29" t="str">
        <x:v>SiliconFlow</x:v>
      </x:c>
      <x:c r="J34" s="29" t="str">
        <x:v>gen-1786660007-G4O9mXLqVPSqXHDd6XZD</x:v>
      </x:c>
      <x:c r="K34" s="29" t="n">
        <x:v>168</x:v>
      </x:c>
      <x:c r="L34" s="29" t="n">
        <x:v>931</x:v>
      </x:c>
      <x:c r="M34" s="29" t="n">
        <x:v>1099</x:v>
      </x:c>
      <x:c r="N34" s="31" t="n">
        <x:v>0.00042707</x:v>
      </x:c>
      <x:c r="O34" s="29" t="n">
        <x:v>3519</x:v>
      </x:c>
      <x:c r="P34" s="29" t="n">
        <x:v>1</x:v>
      </x:c>
      <x:c r="Q34" s="29" t="n">
        <x:v>1</x:v>
      </x:c>
      <x:c r="R34" s="29" t="n">
        <x:v>1</x:v>
      </x:c>
      <x:c r="S34" s="29" t="n">
        <x:v>1</x:v>
      </x:c>
      <x:c r="T34" s="29" t="n">
        <x:v>0</x:v>
      </x:c>
      <x:c r="U34" s="29" t="str">
        <x:v>E</x:v>
      </x:c>
      <x:c r="V34" s="29" t="str">
        <x:v>D+E</x:v>
      </x:c>
      <x:c r="W34" s="29" t="str">
        <x:v>E→D</x:v>
      </x:c>
      <x:c r="X34" s="29" t="n">
        <x:v>1</x:v>
      </x:c>
      <x:c r="Y34" s="29" t="n">
        <x:v>1</x:v>
      </x:c>
      <x:c r="Z34" s="29" t="n">
        <x:v>0</x:v>
      </x:c>
      <x:c r="AA34" s="32" t="str">
        <x:v>Enumerates all candidates, then gives a Dijkstra-style verification.</x:v>
      </x:c>
    </x:row>
    <x:row r="35" ht="34" customHeight="1">
      <x:c r="A35" s="29" t="str">
        <x:v>claude_C01</x:v>
      </x:c>
      <x:c r="B35" s="30" t="n">
        <x:v>46247.9978244213</x:v>
      </x:c>
      <x:c r="C35" s="29" t="str">
        <x:v>C/D high multiplicity</x:v>
      </x:c>
      <x:c r="D35" s="29" t="str">
        <x:v>claude</x:v>
      </x:c>
      <x:c r="E35" s="29" t="str">
        <x:v>C</x:v>
      </x:c>
      <x:c r="F35" s="29" t="n">
        <x:v>1</x:v>
      </x:c>
      <x:c r="G35" s="29" t="n">
        <x:v>200</x:v>
      </x:c>
      <x:c r="H35" s="29" t="str">
        <x:v>anthropic/claude-sonnet-4.6</x:v>
      </x:c>
      <x:c r="I35" s="29" t="str">
        <x:v>Anthropic</x:v>
      </x:c>
      <x:c r="J35" s="29" t="str">
        <x:v>gen-1786665401-YopBaiIyUV9d8T8szIDe</x:v>
      </x:c>
      <x:c r="K35" s="29" t="n">
        <x:v>175</x:v>
      </x:c>
      <x:c r="L35" s="29" t="n">
        <x:v>692</x:v>
      </x:c>
      <x:c r="M35" s="29" t="n">
        <x:v>867</x:v>
      </x:c>
      <x:c r="N35" s="31" t="n">
        <x:v>0.010905</x:v>
      </x:c>
      <x:c r="O35" s="29" t="n">
        <x:v>1377</x:v>
      </x:c>
      <x:c r="P35" s="29" t="n">
        <x:v>1</x:v>
      </x:c>
      <x:c r="Q35" s="29" t="n">
        <x:v>1</x:v>
      </x:c>
      <x:c r="R35" s="29" t="n">
        <x:v>1</x:v>
      </x:c>
      <x:c r="S35" s="29" t="n">
        <x:v>1</x:v>
      </x:c>
      <x:c r="T35" s="29" t="n">
        <x:v>0</x:v>
      </x:c>
      <x:c r="U35" s="29" t="str">
        <x:v>E</x:v>
      </x:c>
      <x:c r="V35" s="29" t="str">
        <x:v>D+E</x:v>
      </x:c>
      <x:c r="W35" s="29" t="str">
        <x:v>E→D</x:v>
      </x:c>
      <x:c r="X35" s="29" t="n">
        <x:v>1</x:v>
      </x:c>
      <x:c r="Y35" s="29" t="n">
        <x:v>1</x:v>
      </x:c>
      <x:c r="Z35" s="29" t="n">
        <x:v>0</x:v>
      </x:c>
      <x:c r="AA35" s="32" t="str">
        <x:v>Exhaustive enumeration followed by a full Dijkstra verification.</x:v>
      </x:c>
    </x:row>
    <x:row r="36" ht="34" customHeight="1">
      <x:c r="A36" s="29" t="str">
        <x:v>claude_D01</x:v>
      </x:c>
      <x:c r="B36" s="30" t="n">
        <x:v>46247.99795149305</x:v>
      </x:c>
      <x:c r="C36" s="29" t="str">
        <x:v>C/D high multiplicity</x:v>
      </x:c>
      <x:c r="D36" s="29" t="str">
        <x:v>claude</x:v>
      </x:c>
      <x:c r="E36" s="29" t="str">
        <x:v>D</x:v>
      </x:c>
      <x:c r="F36" s="29" t="n">
        <x:v>1</x:v>
      </x:c>
      <x:c r="G36" s="29" t="n">
        <x:v>200</x:v>
      </x:c>
      <x:c r="H36" s="29" t="str">
        <x:v>anthropic/claude-sonnet-4.6</x:v>
      </x:c>
      <x:c r="I36" s="29" t="str">
        <x:v>Anthropic</x:v>
      </x:c>
      <x:c r="J36" s="29" t="str">
        <x:v>gen-1786665413-Ca9ihtpZUDfDqy1h8NKc</x:v>
      </x:c>
      <x:c r="K36" s="29" t="n">
        <x:v>175</x:v>
      </x:c>
      <x:c r="L36" s="29" t="n">
        <x:v>691</x:v>
      </x:c>
      <x:c r="M36" s="29" t="n">
        <x:v>866</x:v>
      </x:c>
      <x:c r="N36" s="31" t="n">
        <x:v>0.01089</x:v>
      </x:c>
      <x:c r="O36" s="29" t="n">
        <x:v>1477</x:v>
      </x:c>
      <x:c r="P36" s="29" t="n">
        <x:v>1</x:v>
      </x:c>
      <x:c r="Q36" s="29" t="n">
        <x:v>1</x:v>
      </x:c>
      <x:c r="R36" s="29" t="n">
        <x:v>1</x:v>
      </x:c>
      <x:c r="S36" s="29" t="n">
        <x:v>1</x:v>
      </x:c>
      <x:c r="T36" s="29" t="n">
        <x:v>0</x:v>
      </x:c>
      <x:c r="U36" s="29" t="str">
        <x:v>D</x:v>
      </x:c>
      <x:c r="V36" s="29" t="str">
        <x:v>D+E</x:v>
      </x:c>
      <x:c r="W36" s="29" t="str">
        <x:v>D→E</x:v>
      </x:c>
      <x:c r="X36" s="29" t="n">
        <x:v>1</x:v>
      </x:c>
      <x:c r="Y36" s="29" t="n">
        <x:v>1</x:v>
      </x:c>
      <x:c r="Z36" s="29" t="n">
        <x:v>0</x:v>
      </x:c>
      <x:c r="AA36" s="32" t="str">
        <x:v>Dijkstra first, followed by exhaustive verification of all five paths.</x:v>
      </x:c>
    </x:row>
    <x:row r="37" ht="34" customHeight="1">
      <x:c r="A37" s="29" t="str">
        <x:v>claude_D02</x:v>
      </x:c>
      <x:c r="B37" s="30" t="n">
        <x:v>46247.99803729167</x:v>
      </x:c>
      <x:c r="C37" s="29" t="str">
        <x:v>C/D high multiplicity</x:v>
      </x:c>
      <x:c r="D37" s="29" t="str">
        <x:v>claude</x:v>
      </x:c>
      <x:c r="E37" s="29" t="str">
        <x:v>D</x:v>
      </x:c>
      <x:c r="F37" s="29" t="n">
        <x:v>2</x:v>
      </x:c>
      <x:c r="G37" s="29" t="n">
        <x:v>200</x:v>
      </x:c>
      <x:c r="H37" s="29" t="str">
        <x:v>anthropic/claude-sonnet-4.6</x:v>
      </x:c>
      <x:c r="I37" s="29" t="str">
        <x:v>Anthropic</x:v>
      </x:c>
      <x:c r="J37" s="29" t="str">
        <x:v>gen-1786665424-LOlNiXblWrNgPEzCqQF3</x:v>
      </x:c>
      <x:c r="K37" s="29" t="n">
        <x:v>175</x:v>
      </x:c>
      <x:c r="L37" s="29" t="n">
        <x:v>387</x:v>
      </x:c>
      <x:c r="M37" s="29" t="n">
        <x:v>562</x:v>
      </x:c>
      <x:c r="N37" s="31" t="n">
        <x:v>0.00633</x:v>
      </x:c>
      <x:c r="O37" s="29" t="n">
        <x:v>985</x:v>
      </x:c>
      <x:c r="P37" s="29" t="n">
        <x:v>1</x:v>
      </x:c>
      <x:c r="Q37" s="29" t="n">
        <x:v>1</x:v>
      </x:c>
      <x:c r="R37" s="29" t="n">
        <x:v>1</x:v>
      </x:c>
      <x:c r="S37" s="29" t="n">
        <x:v>1</x:v>
      </x:c>
      <x:c r="T37" s="29" t="n">
        <x:v>0</x:v>
      </x:c>
      <x:c r="U37" s="29" t="str">
        <x:v>E</x:v>
      </x:c>
      <x:c r="V37" s="29" t="str">
        <x:v>E</x:v>
      </x:c>
      <x:c r="W37" s="29" t="str">
        <x:v>E</x:v>
      </x:c>
      <x:c r="X37" s="29" t="n">
        <x:v>1</x:v>
      </x:c>
      <x:c r="Y37" s="29" t="n">
        <x:v>1</x:v>
      </x:c>
      <x:c r="Z37" s="29" t="n">
        <x:v>0</x:v>
      </x:c>
      <x:c r="AA37" s="32" t="str">
        <x:v>Exhaustively enumerates every S–T path; Dijkstra appears only in the heading.</x:v>
      </x:c>
    </x:row>
    <x:row r="38" ht="34" customHeight="1">
      <x:c r="A38" s="29" t="str">
        <x:v>claude_C02</x:v>
      </x:c>
      <x:c r="B38" s="30" t="n">
        <x:v>46247.99819027778</x:v>
      </x:c>
      <x:c r="C38" s="29" t="str">
        <x:v>C/D high multiplicity</x:v>
      </x:c>
      <x:c r="D38" s="29" t="str">
        <x:v>claude</x:v>
      </x:c>
      <x:c r="E38" s="29" t="str">
        <x:v>C</x:v>
      </x:c>
      <x:c r="F38" s="29" t="n">
        <x:v>2</x:v>
      </x:c>
      <x:c r="G38" s="29" t="n">
        <x:v>200</x:v>
      </x:c>
      <x:c r="H38" s="29" t="str">
        <x:v>anthropic/claude-sonnet-4.6</x:v>
      </x:c>
      <x:c r="I38" s="29" t="str">
        <x:v>Anthropic</x:v>
      </x:c>
      <x:c r="J38" s="29" t="str">
        <x:v>gen-1786665431-opcJBLrpYfMCGKdl8E6l</x:v>
      </x:c>
      <x:c r="K38" s="29" t="n">
        <x:v>175</x:v>
      </x:c>
      <x:c r="L38" s="29" t="n">
        <x:v>741</x:v>
      </x:c>
      <x:c r="M38" s="29" t="n">
        <x:v>916</x:v>
      </x:c>
      <x:c r="N38" s="31" t="n">
        <x:v>0.01164</x:v>
      </x:c>
      <x:c r="O38" s="29" t="n">
        <x:v>1713</x:v>
      </x:c>
      <x:c r="P38" s="29" t="n">
        <x:v>1</x:v>
      </x:c>
      <x:c r="Q38" s="29" t="n">
        <x:v>1</x:v>
      </x:c>
      <x:c r="R38" s="29" t="n">
        <x:v>1</x:v>
      </x:c>
      <x:c r="S38" s="29" t="n">
        <x:v>1</x:v>
      </x:c>
      <x:c r="T38" s="29" t="n">
        <x:v>0</x:v>
      </x:c>
      <x:c r="U38" s="29" t="str">
        <x:v>E</x:v>
      </x:c>
      <x:c r="V38" s="29" t="str">
        <x:v>D+E</x:v>
      </x:c>
      <x:c r="W38" s="29" t="str">
        <x:v>E→D</x:v>
      </x:c>
      <x:c r="X38" s="29" t="n">
        <x:v>1</x:v>
      </x:c>
      <x:c r="Y38" s="29" t="n">
        <x:v>1</x:v>
      </x:c>
      <x:c r="Z38" s="29" t="n">
        <x:v>0</x:v>
      </x:c>
      <x:c r="AA38" s="32" t="str">
        <x:v>Exhaustive enumeration followed by a Dijkstra verification.</x:v>
      </x:c>
    </x:row>
    <x:row r="39" ht="34" customHeight="1">
      <x:c r="A39" s="29" t="str">
        <x:v>claude_D03</x:v>
      </x:c>
      <x:c r="B39" s="30" t="n">
        <x:v>46247.99835800926</x:v>
      </x:c>
      <x:c r="C39" s="29" t="str">
        <x:v>C/D high multiplicity</x:v>
      </x:c>
      <x:c r="D39" s="29" t="str">
        <x:v>claude</x:v>
      </x:c>
      <x:c r="E39" s="29" t="str">
        <x:v>D</x:v>
      </x:c>
      <x:c r="F39" s="29" t="n">
        <x:v>3</x:v>
      </x:c>
      <x:c r="G39" s="29" t="n">
        <x:v>200</x:v>
      </x:c>
      <x:c r="H39" s="29" t="str">
        <x:v>anthropic/claude-sonnet-4.6</x:v>
      </x:c>
      <x:c r="I39" s="29" t="str">
        <x:v>Anthropic</x:v>
      </x:c>
      <x:c r="J39" s="29" t="str">
        <x:v>gen-1786665444-Lz2QBbf2vNyrvp3sSos7</x:v>
      </x:c>
      <x:c r="K39" s="29" t="n">
        <x:v>175</x:v>
      </x:c>
      <x:c r="L39" s="29" t="n">
        <x:v>857</x:v>
      </x:c>
      <x:c r="M39" s="29" t="n">
        <x:v>1032</x:v>
      </x:c>
      <x:c r="N39" s="31" t="n">
        <x:v>0.01338</x:v>
      </x:c>
      <x:c r="O39" s="29" t="n">
        <x:v>1841</x:v>
      </x:c>
      <x:c r="P39" s="29" t="n">
        <x:v>1</x:v>
      </x:c>
      <x:c r="Q39" s="29" t="n">
        <x:v>1</x:v>
      </x:c>
      <x:c r="R39" s="29" t="n">
        <x:v>1</x:v>
      </x:c>
      <x:c r="S39" s="29" t="n">
        <x:v>1</x:v>
      </x:c>
      <x:c r="T39" s="29" t="n">
        <x:v>0</x:v>
      </x:c>
      <x:c r="U39" s="29" t="str">
        <x:v>D</x:v>
      </x:c>
      <x:c r="V39" s="29" t="str">
        <x:v>D+E</x:v>
      </x:c>
      <x:c r="W39" s="29" t="str">
        <x:v>D→E</x:v>
      </x:c>
      <x:c r="X39" s="29" t="n">
        <x:v>1</x:v>
      </x:c>
      <x:c r="Y39" s="29" t="n">
        <x:v>1</x:v>
      </x:c>
      <x:c r="Z39" s="29" t="n">
        <x:v>0</x:v>
      </x:c>
      <x:c r="AA39" s="32" t="str">
        <x:v>Dijkstra first, then systematically checks every possible S–T path.</x:v>
      </x:c>
    </x:row>
    <x:row r="40" ht="34" customHeight="1">
      <x:c r="A40" s="29" t="str">
        <x:v>claude_C03</x:v>
      </x:c>
      <x:c r="B40" s="30" t="n">
        <x:v>46247.99846113426</x:v>
      </x:c>
      <x:c r="C40" s="29" t="str">
        <x:v>C/D high multiplicity</x:v>
      </x:c>
      <x:c r="D40" s="29" t="str">
        <x:v>claude</x:v>
      </x:c>
      <x:c r="E40" s="29" t="str">
        <x:v>C</x:v>
      </x:c>
      <x:c r="F40" s="29" t="n">
        <x:v>3</x:v>
      </x:c>
      <x:c r="G40" s="29" t="n">
        <x:v>200</x:v>
      </x:c>
      <x:c r="H40" s="29" t="str">
        <x:v>anthropic/claude-sonnet-4.6</x:v>
      </x:c>
      <x:c r="I40" s="29" t="str">
        <x:v>Anthropic</x:v>
      </x:c>
      <x:c r="J40" s="29" t="str">
        <x:v>gen-1786665459-tiug3Lq36AIgqAeKFKdJ</x:v>
      </x:c>
      <x:c r="K40" s="29" t="n">
        <x:v>175</x:v>
      </x:c>
      <x:c r="L40" s="29" t="n">
        <x:v>455</x:v>
      </x:c>
      <x:c r="M40" s="29" t="n">
        <x:v>630</x:v>
      </x:c>
      <x:c r="N40" s="31" t="n">
        <x:v>0.00735</x:v>
      </x:c>
      <x:c r="O40" s="29" t="n">
        <x:v>1129</x:v>
      </x:c>
      <x:c r="P40" s="29" t="n">
        <x:v>1</x:v>
      </x:c>
      <x:c r="Q40" s="29" t="n">
        <x:v>1</x:v>
      </x:c>
      <x:c r="R40" s="29" t="n">
        <x:v>1</x:v>
      </x:c>
      <x:c r="S40" s="29" t="n">
        <x:v>1</x:v>
      </x:c>
      <x:c r="T40" s="29" t="n">
        <x:v>0</x:v>
      </x:c>
      <x:c r="U40" s="29" t="str">
        <x:v>E</x:v>
      </x:c>
      <x:c r="V40" s="29" t="str">
        <x:v>E</x:v>
      </x:c>
      <x:c r="W40" s="29" t="str">
        <x:v>E</x:v>
      </x:c>
      <x:c r="X40" s="29" t="n">
        <x:v>1</x:v>
      </x:c>
      <x:c r="Y40" s="29" t="n">
        <x:v>1</x:v>
      </x:c>
      <x:c r="Z40" s="29" t="n">
        <x:v>0</x:v>
      </x:c>
      <x:c r="AA40" s="32" t="str">
        <x:v>Exhaustive path enumeration with a direct completeness argument.</x:v>
      </x:c>
    </x:row>
    <x:row r="41" ht="34" customHeight="1">
      <x:c r="A41" s="29" t="str">
        <x:v>claude_C04</x:v>
      </x:c>
      <x:c r="B41" s="30" t="n">
        <x:v>46247.9986046875</x:v>
      </x:c>
      <x:c r="C41" s="29" t="str">
        <x:v>C/D high multiplicity</x:v>
      </x:c>
      <x:c r="D41" s="29" t="str">
        <x:v>claude</x:v>
      </x:c>
      <x:c r="E41" s="29" t="str">
        <x:v>C</x:v>
      </x:c>
      <x:c r="F41" s="29" t="n">
        <x:v>4</x:v>
      </x:c>
      <x:c r="G41" s="29" t="n">
        <x:v>200</x:v>
      </x:c>
      <x:c r="H41" s="29" t="str">
        <x:v>anthropic/claude-sonnet-4.6</x:v>
      </x:c>
      <x:c r="I41" s="29" t="str">
        <x:v>Anthropic</x:v>
      </x:c>
      <x:c r="J41" s="29" t="str">
        <x:v>gen-1786665468-cVarXnxAVKQM6dCbxWaZ</x:v>
      </x:c>
      <x:c r="K41" s="29" t="n">
        <x:v>175</x:v>
      </x:c>
      <x:c r="L41" s="29" t="n">
        <x:v>741</x:v>
      </x:c>
      <x:c r="M41" s="29" t="n">
        <x:v>916</x:v>
      </x:c>
      <x:c r="N41" s="31" t="n">
        <x:v>0.01164</x:v>
      </x:c>
      <x:c r="O41" s="29" t="n">
        <x:v>1626</x:v>
      </x:c>
      <x:c r="P41" s="29" t="n">
        <x:v>1</x:v>
      </x:c>
      <x:c r="Q41" s="29" t="n">
        <x:v>1</x:v>
      </x:c>
      <x:c r="R41" s="29" t="n">
        <x:v>1</x:v>
      </x:c>
      <x:c r="S41" s="29" t="n">
        <x:v>1</x:v>
      </x:c>
      <x:c r="T41" s="29" t="n">
        <x:v>0</x:v>
      </x:c>
      <x:c r="U41" s="29" t="str">
        <x:v>E</x:v>
      </x:c>
      <x:c r="V41" s="29" t="str">
        <x:v>D+E</x:v>
      </x:c>
      <x:c r="W41" s="29" t="str">
        <x:v>E→D</x:v>
      </x:c>
      <x:c r="X41" s="29" t="n">
        <x:v>1</x:v>
      </x:c>
      <x:c r="Y41" s="29" t="n">
        <x:v>1</x:v>
      </x:c>
      <x:c r="Z41" s="29" t="n">
        <x:v>0</x:v>
      </x:c>
      <x:c r="AA41" s="32" t="str">
        <x:v>Exhaustive enumeration followed by a Dijkstra verification.</x:v>
      </x:c>
    </x:row>
    <x:row r="42" ht="34" customHeight="1">
      <x:c r="A42" s="29" t="str">
        <x:v>claude_D04</x:v>
      </x:c>
      <x:c r="B42" s="30" t="n">
        <x:v>46247.998723703706</x:v>
      </x:c>
      <x:c r="C42" s="29" t="str">
        <x:v>C/D high multiplicity</x:v>
      </x:c>
      <x:c r="D42" s="29" t="str">
        <x:v>claude</x:v>
      </x:c>
      <x:c r="E42" s="29" t="str">
        <x:v>D</x:v>
      </x:c>
      <x:c r="F42" s="29" t="n">
        <x:v>4</x:v>
      </x:c>
      <x:c r="G42" s="29" t="n">
        <x:v>200</x:v>
      </x:c>
      <x:c r="H42" s="29" t="str">
        <x:v>anthropic/claude-sonnet-4.6</x:v>
      </x:c>
      <x:c r="I42" s="29" t="str">
        <x:v>Anthropic</x:v>
      </x:c>
      <x:c r="J42" s="29" t="str">
        <x:v>gen-1786665480-SJTXmKoGBUNo2ScvkALw</x:v>
      </x:c>
      <x:c r="K42" s="29" t="n">
        <x:v>175</x:v>
      </x:c>
      <x:c r="L42" s="29" t="n">
        <x:v>623</x:v>
      </x:c>
      <x:c r="M42" s="29" t="n">
        <x:v>798</x:v>
      </x:c>
      <x:c r="N42" s="31" t="n">
        <x:v>0.00987</x:v>
      </x:c>
      <x:c r="O42" s="29" t="n">
        <x:v>1371</x:v>
      </x:c>
      <x:c r="P42" s="29" t="n">
        <x:v>1</x:v>
      </x:c>
      <x:c r="Q42" s="29" t="n">
        <x:v>1</x:v>
      </x:c>
      <x:c r="R42" s="29" t="n">
        <x:v>1</x:v>
      </x:c>
      <x:c r="S42" s="29" t="n">
        <x:v>1</x:v>
      </x:c>
      <x:c r="T42" s="29" t="n">
        <x:v>0</x:v>
      </x:c>
      <x:c r="U42" s="29" t="str">
        <x:v>D</x:v>
      </x:c>
      <x:c r="V42" s="29" t="str">
        <x:v>D+E</x:v>
      </x:c>
      <x:c r="W42" s="29" t="str">
        <x:v>D→E</x:v>
      </x:c>
      <x:c r="X42" s="29" t="n">
        <x:v>1</x:v>
      </x:c>
      <x:c r="Y42" s="29" t="n">
        <x:v>1</x:v>
      </x:c>
      <x:c r="Z42" s="29" t="n">
        <x:v>0</x:v>
      </x:c>
      <x:c r="AA42" s="32" t="str">
        <x:v>Dijkstra first, then enumerates every possible S–T path.</x:v>
      </x:c>
    </x:row>
    <x:row r="43" ht="34" customHeight="1">
      <x:c r="A43" s="29" t="str">
        <x:v>claude_C05</x:v>
      </x:c>
      <x:c r="B43" s="30" t="n">
        <x:v>46247.99883157408</x:v>
      </x:c>
      <x:c r="C43" s="29" t="str">
        <x:v>C/D high multiplicity</x:v>
      </x:c>
      <x:c r="D43" s="29" t="str">
        <x:v>claude</x:v>
      </x:c>
      <x:c r="E43" s="29" t="str">
        <x:v>C</x:v>
      </x:c>
      <x:c r="F43" s="29" t="n">
        <x:v>5</x:v>
      </x:c>
      <x:c r="G43" s="29" t="n">
        <x:v>200</x:v>
      </x:c>
      <x:c r="H43" s="29" t="str">
        <x:v>anthropic/claude-sonnet-4.6</x:v>
      </x:c>
      <x:c r="I43" s="29" t="str">
        <x:v>Anthropic</x:v>
      </x:c>
      <x:c r="J43" s="29" t="str">
        <x:v>gen-1786665491-D3FN92oG2dwFDfGCzJN1</x:v>
      </x:c>
      <x:c r="K43" s="29" t="n">
        <x:v>175</x:v>
      </x:c>
      <x:c r="L43" s="29" t="n">
        <x:v>576</x:v>
      </x:c>
      <x:c r="M43" s="29" t="n">
        <x:v>751</x:v>
      </x:c>
      <x:c r="N43" s="31" t="n">
        <x:v>0.009165</x:v>
      </x:c>
      <x:c r="O43" s="29" t="n">
        <x:v>1219</x:v>
      </x:c>
      <x:c r="P43" s="29" t="n">
        <x:v>1</x:v>
      </x:c>
      <x:c r="Q43" s="29" t="n">
        <x:v>1</x:v>
      </x:c>
      <x:c r="R43" s="29" t="n">
        <x:v>1</x:v>
      </x:c>
      <x:c r="S43" s="29" t="n">
        <x:v>1</x:v>
      </x:c>
      <x:c r="T43" s="29" t="n">
        <x:v>0</x:v>
      </x:c>
      <x:c r="U43" s="29" t="str">
        <x:v>E</x:v>
      </x:c>
      <x:c r="V43" s="29" t="str">
        <x:v>D+E</x:v>
      </x:c>
      <x:c r="W43" s="29" t="str">
        <x:v>E→D</x:v>
      </x:c>
      <x:c r="X43" s="29" t="n">
        <x:v>1</x:v>
      </x:c>
      <x:c r="Y43" s="29" t="n">
        <x:v>1</x:v>
      </x:c>
      <x:c r="Z43" s="29" t="n">
        <x:v>0</x:v>
      </x:c>
      <x:c r="AA43" s="32" t="str">
        <x:v>Exhaustive enumeration followed by a Dijkstra verification.</x:v>
      </x:c>
    </x:row>
    <x:row r="44" ht="34" customHeight="1">
      <x:c r="A44" s="29" t="str">
        <x:v>claude_D05</x:v>
      </x:c>
      <x:c r="B44" s="30" t="n">
        <x:v>46247.9989787963</x:v>
      </x:c>
      <x:c r="C44" s="29" t="str">
        <x:v>C/D high multiplicity</x:v>
      </x:c>
      <x:c r="D44" s="29" t="str">
        <x:v>claude</x:v>
      </x:c>
      <x:c r="E44" s="29" t="str">
        <x:v>D</x:v>
      </x:c>
      <x:c r="F44" s="29" t="n">
        <x:v>5</x:v>
      </x:c>
      <x:c r="G44" s="29" t="n">
        <x:v>200</x:v>
      </x:c>
      <x:c r="H44" s="29" t="str">
        <x:v>anthropic/claude-sonnet-4.6</x:v>
      </x:c>
      <x:c r="I44" s="29" t="str">
        <x:v>Anthropic</x:v>
      </x:c>
      <x:c r="J44" s="29" t="str">
        <x:v>gen-1786665500-ZKjTtuObFpvxeUXkbQ5V</x:v>
      </x:c>
      <x:c r="K44" s="29" t="n">
        <x:v>175</x:v>
      </x:c>
      <x:c r="L44" s="29" t="n">
        <x:v>907</x:v>
      </x:c>
      <x:c r="M44" s="29" t="n">
        <x:v>1082</x:v>
      </x:c>
      <x:c r="N44" s="31" t="n">
        <x:v>0.01413</x:v>
      </x:c>
      <x:c r="O44" s="29" t="n">
        <x:v>1713</x:v>
      </x:c>
      <x:c r="P44" s="29" t="n">
        <x:v>1</x:v>
      </x:c>
      <x:c r="Q44" s="29" t="n">
        <x:v>1</x:v>
      </x:c>
      <x:c r="R44" s="29" t="n">
        <x:v>1</x:v>
      </x:c>
      <x:c r="S44" s="29" t="n">
        <x:v>1</x:v>
      </x:c>
      <x:c r="T44" s="29" t="n">
        <x:v>0</x:v>
      </x:c>
      <x:c r="U44" s="29" t="str">
        <x:v>D</x:v>
      </x:c>
      <x:c r="V44" s="29" t="str">
        <x:v>D</x:v>
      </x:c>
      <x:c r="W44" s="29" t="str">
        <x:v>D</x:v>
      </x:c>
      <x:c r="X44" s="29" t="n">
        <x:v>1</x:v>
      </x:c>
      <x:c r="Y44" s="29" t="n">
        <x:v>1</x:v>
      </x:c>
      <x:c r="Z44" s="29" t="n">
        <x:v>0</x:v>
      </x:c>
      <x:c r="AA44" s="32" t="str">
        <x:v>Dijkstra plus shortest-path-DAG predecessor tracing.</x:v>
      </x:c>
    </x:row>
    <x:row r="45" ht="34" customHeight="1">
      <x:c r="A45" s="29" t="str">
        <x:v>mistral_C01</x:v>
      </x:c>
      <x:c r="B45" s="30" t="n">
        <x:v>46247.99932915509</x:v>
      </x:c>
      <x:c r="C45" s="29" t="str">
        <x:v>C/D high multiplicity</x:v>
      </x:c>
      <x:c r="D45" s="29" t="str">
        <x:v>mistral</x:v>
      </x:c>
      <x:c r="E45" s="29" t="str">
        <x:v>C</x:v>
      </x:c>
      <x:c r="F45" s="29" t="n">
        <x:v>1</x:v>
      </x:c>
      <x:c r="G45" s="29" t="n">
        <x:v>200</x:v>
      </x:c>
      <x:c r="H45" s="29" t="str">
        <x:v>mistralai/mistral-large-2512</x:v>
      </x:c>
      <x:c r="I45" s="29" t="str">
        <x:v>Mistral</x:v>
      </x:c>
      <x:c r="J45" s="29" t="str">
        <x:v>gen-1786665512-arjNl42v59icGKPI6d7i</x:v>
      </x:c>
      <x:c r="K45" s="29" t="n">
        <x:v>162</x:v>
      </x:c>
      <x:c r="L45" s="29" t="n">
        <x:v>2693</x:v>
      </x:c>
      <x:c r="M45" s="29" t="n">
        <x:v>2855</x:v>
      </x:c>
      <x:c r="N45" s="31" t="n">
        <x:v>0.0041205</x:v>
      </x:c>
      <x:c r="O45" s="29" t="n">
        <x:v>7520</x:v>
      </x:c>
      <x:c r="P45" s="29" t="n">
        <x:v>1</x:v>
      </x:c>
      <x:c r="Q45" s="29" t="n">
        <x:v>1</x:v>
      </x:c>
      <x:c r="R45" s="29" t="n">
        <x:v>1</x:v>
      </x:c>
      <x:c r="S45" s="29" t="n">
        <x:v>1</x:v>
      </x:c>
      <x:c r="T45" s="29" t="n">
        <x:v>0</x:v>
      </x:c>
      <x:c r="U45" s="29" t="str">
        <x:v>D</x:v>
      </x:c>
      <x:c r="V45" s="29" t="str">
        <x:v>D</x:v>
      </x:c>
      <x:c r="W45" s="29" t="str">
        <x:v>D</x:v>
      </x:c>
      <x:c r="X45" s="29" t="n">
        <x:v>1</x:v>
      </x:c>
      <x:c r="Y45" s="29" t="n">
        <x:v>1</x:v>
      </x:c>
      <x:c r="Z45" s="29" t="n">
        <x:v>1</x:v>
      </x:c>
      <x:c r="AA45" s="32" t="str">
        <x:v>Modified Dijkstra. Temporarily miscounts 4 nodes as 3/2 edges, then explicitly corrects every final edge count to 3.</x:v>
      </x:c>
    </x:row>
    <x:row r="46" ht="34" customHeight="1">
      <x:c r="A46" s="29" t="str">
        <x:v>mistral_D01</x:v>
      </x:c>
      <x:c r="B46" s="30" t="n">
        <x:v>46247.99954258102</x:v>
      </x:c>
      <x:c r="C46" s="29" t="str">
        <x:v>C/D high multiplicity</x:v>
      </x:c>
      <x:c r="D46" s="29" t="str">
        <x:v>mistral</x:v>
      </x:c>
      <x:c r="E46" s="29" t="str">
        <x:v>D</x:v>
      </x:c>
      <x:c r="F46" s="29" t="n">
        <x:v>1</x:v>
      </x:c>
      <x:c r="G46" s="29" t="n">
        <x:v>200</x:v>
      </x:c>
      <x:c r="H46" s="29" t="str">
        <x:v>mistralai/mistral-large-2512</x:v>
      </x:c>
      <x:c r="I46" s="29" t="str">
        <x:v>Mistral</x:v>
      </x:c>
      <x:c r="J46" s="29" t="str">
        <x:v>gen-1786665543-5G9BCDJv7LetbeBkJyAM</x:v>
      </x:c>
      <x:c r="K46" s="29" t="n">
        <x:v>162</x:v>
      </x:c>
      <x:c r="L46" s="29" t="n">
        <x:v>1471</x:v>
      </x:c>
      <x:c r="M46" s="29" t="n">
        <x:v>1633</x:v>
      </x:c>
      <x:c r="N46" s="31" t="n">
        <x:v>0.0022875</x:v>
      </x:c>
      <x:c r="O46" s="29" t="n">
        <x:v>4700</x:v>
      </x:c>
      <x:c r="P46" s="29" t="n">
        <x:v>1</x:v>
      </x:c>
      <x:c r="Q46" s="29" t="n">
        <x:v>1</x:v>
      </x:c>
      <x:c r="R46" s="29" t="n">
        <x:v>1</x:v>
      </x:c>
      <x:c r="S46" s="29" t="n">
        <x:v>1</x:v>
      </x:c>
      <x:c r="T46" s="29" t="n">
        <x:v>0</x:v>
      </x:c>
      <x:c r="U46" s="29" t="str">
        <x:v>E</x:v>
      </x:c>
      <x:c r="V46" s="29" t="str">
        <x:v>E</x:v>
      </x:c>
      <x:c r="W46" s="29" t="str">
        <x:v>E</x:v>
      </x:c>
      <x:c r="X46" s="29" t="n">
        <x:v>1</x:v>
      </x:c>
      <x:c r="Y46" s="29" t="n">
        <x:v>1</x:v>
      </x:c>
      <x:c r="Z46" s="29" t="n">
        <x:v>0</x:v>
      </x:c>
      <x:c r="AA46" s="32" t="str">
        <x:v>Mentions modified Dijkstra as an option but actually performs exhaustive enumeration.</x:v>
      </x:c>
    </x:row>
    <x:row r="47" ht="34" customHeight="1">
      <x:c r="A47" s="29" t="str">
        <x:v>mistral_D02</x:v>
      </x:c>
      <x:c r="B47" s="30" t="n">
        <x:v>46247.999905983794</x:v>
      </x:c>
      <x:c r="C47" s="29" t="str">
        <x:v>C/D high multiplicity</x:v>
      </x:c>
      <x:c r="D47" s="29" t="str">
        <x:v>mistral</x:v>
      </x:c>
      <x:c r="E47" s="29" t="str">
        <x:v>D</x:v>
      </x:c>
      <x:c r="F47" s="29" t="n">
        <x:v>2</x:v>
      </x:c>
      <x:c r="G47" s="29" t="n">
        <x:v>200</x:v>
      </x:c>
      <x:c r="H47" s="29" t="str">
        <x:v>mistralai/mistral-large-2512</x:v>
      </x:c>
      <x:c r="I47" s="29" t="str">
        <x:v>Mistral</x:v>
      </x:c>
      <x:c r="J47" s="29" t="str">
        <x:v>gen-1786665561-SqUwikUpJuIqj8Xj5vLo</x:v>
      </x:c>
      <x:c r="K47" s="29" t="n">
        <x:v>162</x:v>
      </x:c>
      <x:c r="L47" s="29" t="n">
        <x:v>2544</x:v>
      </x:c>
      <x:c r="M47" s="29" t="n">
        <x:v>2706</x:v>
      </x:c>
      <x:c r="N47" s="31" t="n">
        <x:v>0.0038322</x:v>
      </x:c>
      <x:c r="O47" s="29" t="n">
        <x:v>7361</x:v>
      </x:c>
      <x:c r="P47" s="29" t="n">
        <x:v>1</x:v>
      </x:c>
      <x:c r="Q47" s="29" t="n">
        <x:v>1</x:v>
      </x:c>
      <x:c r="R47" s="29" t="n">
        <x:v>1</x:v>
      </x:c>
      <x:c r="S47" s="29" t="n">
        <x:v>1</x:v>
      </x:c>
      <x:c r="T47" s="29" t="n">
        <x:v>0</x:v>
      </x:c>
      <x:c r="U47" s="29" t="str">
        <x:v>D</x:v>
      </x:c>
      <x:c r="V47" s="29" t="str">
        <x:v>D+E</x:v>
      </x:c>
      <x:c r="W47" s="29" t="str">
        <x:v>D→E</x:v>
      </x:c>
      <x:c r="X47" s="29" t="n">
        <x:v>1</x:v>
      </x:c>
      <x:c r="Y47" s="29" t="n">
        <x:v>1</x:v>
      </x:c>
      <x:c r="Z47" s="29" t="n">
        <x:v>0</x:v>
      </x:c>
      <x:c r="AA47" s="32" t="str">
        <x:v>Full priority-queue trace followed by a complete path-list verification.</x:v>
      </x:c>
    </x:row>
    <x:row r="48" ht="34" customHeight="1">
      <x:c r="A48" s="29" t="str">
        <x:v>mistral_C02</x:v>
      </x:c>
      <x:c r="B48" s="30" t="n">
        <x:v>46248.000197511574</x:v>
      </x:c>
      <x:c r="C48" s="29" t="str">
        <x:v>C/D high multiplicity</x:v>
      </x:c>
      <x:c r="D48" s="29" t="str">
        <x:v>mistral</x:v>
      </x:c>
      <x:c r="E48" s="29" t="str">
        <x:v>C</x:v>
      </x:c>
      <x:c r="F48" s="29" t="n">
        <x:v>2</x:v>
      </x:c>
      <x:c r="G48" s="29" t="n">
        <x:v>200</x:v>
      </x:c>
      <x:c r="H48" s="29" t="str">
        <x:v>mistralai/mistral-large-2512</x:v>
      </x:c>
      <x:c r="I48" s="29" t="str">
        <x:v>Mistral</x:v>
      </x:c>
      <x:c r="J48" s="29" t="str">
        <x:v>gen-1786665593-iPo9or9qQEaMCoGhvjff</x:v>
      </x:c>
      <x:c r="K48" s="29" t="n">
        <x:v>162</x:v>
      </x:c>
      <x:c r="L48" s="29" t="n">
        <x:v>1981</x:v>
      </x:c>
      <x:c r="M48" s="29" t="n">
        <x:v>2143</x:v>
      </x:c>
      <x:c r="N48" s="31" t="n">
        <x:v>0.0030525</x:v>
      </x:c>
      <x:c r="O48" s="29" t="n">
        <x:v>5882</x:v>
      </x:c>
      <x:c r="P48" s="29" t="n">
        <x:v>1</x:v>
      </x:c>
      <x:c r="Q48" s="29" t="n">
        <x:v>1</x:v>
      </x:c>
      <x:c r="R48" s="29" t="n">
        <x:v>1</x:v>
      </x:c>
      <x:c r="S48" s="29" t="n">
        <x:v>1</x:v>
      </x:c>
      <x:c r="T48" s="29" t="n">
        <x:v>0</x:v>
      </x:c>
      <x:c r="U48" s="29" t="str">
        <x:v>D</x:v>
      </x:c>
      <x:c r="V48" s="29" t="str">
        <x:v>D</x:v>
      </x:c>
      <x:c r="W48" s="29" t="str">
        <x:v>D</x:v>
      </x:c>
      <x:c r="X48" s="29" t="n">
        <x:v>1</x:v>
      </x:c>
      <x:c r="Y48" s="29" t="n">
        <x:v>1</x:v>
      </x:c>
      <x:c r="Z48" s="29" t="n">
        <x:v>0</x:v>
      </x:c>
      <x:c r="AA48" s="32" t="str">
        <x:v>Modified Dijkstra with tied-path tracking and a completeness check.</x:v>
      </x:c>
    </x:row>
    <x:row r="49" ht="34" customHeight="1">
      <x:c r="A49" s="29" t="str">
        <x:v>mistral_D03</x:v>
      </x:c>
      <x:c r="B49" s="30" t="n">
        <x:v>46248.000430277774</x:v>
      </x:c>
      <x:c r="C49" s="29" t="str">
        <x:v>C/D high multiplicity</x:v>
      </x:c>
      <x:c r="D49" s="29" t="str">
        <x:v>mistral</x:v>
      </x:c>
      <x:c r="E49" s="29" t="str">
        <x:v>D</x:v>
      </x:c>
      <x:c r="F49" s="29" t="n">
        <x:v>3</x:v>
      </x:c>
      <x:c r="G49" s="29" t="n">
        <x:v>200</x:v>
      </x:c>
      <x:c r="H49" s="29" t="str">
        <x:v>mistralai/mistral-large-2512</x:v>
      </x:c>
      <x:c r="I49" s="29" t="str">
        <x:v>Mistral</x:v>
      </x:c>
      <x:c r="J49" s="29" t="str">
        <x:v>gen-1786665618-HMKrxlFe8Hs4Y2IUl28R</x:v>
      </x:c>
      <x:c r="K49" s="29" t="n">
        <x:v>162</x:v>
      </x:c>
      <x:c r="L49" s="29" t="n">
        <x:v>1459</x:v>
      </x:c>
      <x:c r="M49" s="29" t="n">
        <x:v>1621</x:v>
      </x:c>
      <x:c r="N49" s="31" t="n">
        <x:v>0.0022695</x:v>
      </x:c>
      <x:c r="O49" s="29" t="n">
        <x:v>4532</x:v>
      </x:c>
      <x:c r="P49" s="29" t="n">
        <x:v>1</x:v>
      </x:c>
      <x:c r="Q49" s="29" t="n">
        <x:v>1</x:v>
      </x:c>
      <x:c r="R49" s="29" t="n">
        <x:v>1</x:v>
      </x:c>
      <x:c r="S49" s="29" t="n">
        <x:v>1</x:v>
      </x:c>
      <x:c r="T49" s="29" t="n">
        <x:v>0</x:v>
      </x:c>
      <x:c r="U49" s="29" t="str">
        <x:v>E</x:v>
      </x:c>
      <x:c r="V49" s="29" t="str">
        <x:v>E</x:v>
      </x:c>
      <x:c r="W49" s="29" t="str">
        <x:v>E</x:v>
      </x:c>
      <x:c r="X49" s="29" t="n">
        <x:v>1</x:v>
      </x:c>
      <x:c r="Y49" s="29" t="n">
        <x:v>1</x:v>
      </x:c>
      <x:c r="Z49" s="29" t="n">
        <x:v>0</x:v>
      </x:c>
      <x:c r="AA49" s="32" t="str">
        <x:v>Explicit exhaustive enumeration of all feasible paths.</x:v>
      </x:c>
    </x:row>
    <x:row r="50" ht="34" customHeight="1">
      <x:c r="A50" s="29" t="str">
        <x:v>mistral_C03</x:v>
      </x:c>
      <x:c r="B50" s="30" t="n">
        <x:v>46248.00065818287</x:v>
      </x:c>
      <x:c r="C50" s="29" t="str">
        <x:v>C/D high multiplicity</x:v>
      </x:c>
      <x:c r="D50" s="29" t="str">
        <x:v>mistral</x:v>
      </x:c>
      <x:c r="E50" s="29" t="str">
        <x:v>C</x:v>
      </x:c>
      <x:c r="F50" s="29" t="n">
        <x:v>3</x:v>
      </x:c>
      <x:c r="G50" s="29" t="n">
        <x:v>200</x:v>
      </x:c>
      <x:c r="H50" s="29" t="str">
        <x:v>mistralai/mistral-large-2512</x:v>
      </x:c>
      <x:c r="I50" s="29" t="str">
        <x:v>Mistral</x:v>
      </x:c>
      <x:c r="J50" s="29" t="str">
        <x:v>gen-1786665638-I5C8d3OFhChc39zXTZ2f</x:v>
      </x:c>
      <x:c r="K50" s="29" t="n">
        <x:v>162</x:v>
      </x:c>
      <x:c r="L50" s="29" t="n">
        <x:v>1555</x:v>
      </x:c>
      <x:c r="M50" s="29" t="n">
        <x:v>1717</x:v>
      </x:c>
      <x:c r="N50" s="31" t="n">
        <x:v>0.0024135</x:v>
      </x:c>
      <x:c r="O50" s="29" t="n">
        <x:v>5129</x:v>
      </x:c>
      <x:c r="P50" s="29" t="n">
        <x:v>1</x:v>
      </x:c>
      <x:c r="Q50" s="29" t="n">
        <x:v>1</x:v>
      </x:c>
      <x:c r="R50" s="29" t="n">
        <x:v>1</x:v>
      </x:c>
      <x:c r="S50" s="29" t="n">
        <x:v>1</x:v>
      </x:c>
      <x:c r="T50" s="29" t="n">
        <x:v>0</x:v>
      </x:c>
      <x:c r="U50" s="29" t="str">
        <x:v>E</x:v>
      </x:c>
      <x:c r="V50" s="29" t="str">
        <x:v>E</x:v>
      </x:c>
      <x:c r="W50" s="29" t="str">
        <x:v>E</x:v>
      </x:c>
      <x:c r="X50" s="29" t="n">
        <x:v>1</x:v>
      </x:c>
      <x:c r="Y50" s="29" t="n">
        <x:v>1</x:v>
      </x:c>
      <x:c r="Z50" s="29" t="n">
        <x:v>0</x:v>
      </x:c>
      <x:c r="AA50" s="32" t="str">
        <x:v>Explicit exhaustive enumeration of all feasible paths.</x:v>
      </x:c>
    </x:row>
    <x:row r="51" ht="34" customHeight="1">
      <x:c r="A51" s="29" t="str">
        <x:v>mistral_C04</x:v>
      </x:c>
      <x:c r="B51" s="30" t="n">
        <x:v>46248.00086954861</x:v>
      </x:c>
      <x:c r="C51" s="29" t="str">
        <x:v>C/D high multiplicity</x:v>
      </x:c>
      <x:c r="D51" s="29" t="str">
        <x:v>mistral</x:v>
      </x:c>
      <x:c r="E51" s="29" t="str">
        <x:v>C</x:v>
      </x:c>
      <x:c r="F51" s="29" t="n">
        <x:v>4</x:v>
      </x:c>
      <x:c r="G51" s="29" t="n">
        <x:v>200</x:v>
      </x:c>
      <x:c r="H51" s="29" t="str">
        <x:v>mistralai/mistral-large-2512</x:v>
      </x:c>
      <x:c r="I51" s="29" t="str">
        <x:v>Mistral</x:v>
      </x:c>
      <x:c r="J51" s="29" t="str">
        <x:v>gen-1786665658-RmJYGWG2qib0gC5k8Vte</x:v>
      </x:c>
      <x:c r="K51" s="29" t="n">
        <x:v>162</x:v>
      </x:c>
      <x:c r="L51" s="29" t="n">
        <x:v>1406</x:v>
      </x:c>
      <x:c r="M51" s="29" t="n">
        <x:v>1568</x:v>
      </x:c>
      <x:c r="N51" s="31" t="n">
        <x:v>0.0021252</x:v>
      </x:c>
      <x:c r="O51" s="29" t="n">
        <x:v>4424</x:v>
      </x:c>
      <x:c r="P51" s="29" t="n">
        <x:v>1</x:v>
      </x:c>
      <x:c r="Q51" s="29" t="n">
        <x:v>1</x:v>
      </x:c>
      <x:c r="R51" s="29" t="n">
        <x:v>1</x:v>
      </x:c>
      <x:c r="S51" s="29" t="n">
        <x:v>1</x:v>
      </x:c>
      <x:c r="T51" s="29" t="n">
        <x:v>0</x:v>
      </x:c>
      <x:c r="U51" s="29" t="str">
        <x:v>E</x:v>
      </x:c>
      <x:c r="V51" s="29" t="str">
        <x:v>E</x:v>
      </x:c>
      <x:c r="W51" s="29" t="str">
        <x:v>E</x:v>
      </x:c>
      <x:c r="X51" s="29" t="n">
        <x:v>1</x:v>
      </x:c>
      <x:c r="Y51" s="29" t="n">
        <x:v>1</x:v>
      </x:c>
      <x:c r="Z51" s="29" t="n">
        <x:v>0</x:v>
      </x:c>
      <x:c r="AA51" s="32" t="str">
        <x:v>Explicit exhaustive enumeration of all feasible paths.</x:v>
      </x:c>
    </x:row>
    <x:row r="52" ht="34" customHeight="1">
      <x:c r="A52" s="29" t="str">
        <x:v>mistral_D04</x:v>
      </x:c>
      <x:c r="B52" s="30" t="n">
        <x:v>46248.00109456018</x:v>
      </x:c>
      <x:c r="C52" s="29" t="str">
        <x:v>C/D high multiplicity</x:v>
      </x:c>
      <x:c r="D52" s="29" t="str">
        <x:v>mistral</x:v>
      </x:c>
      <x:c r="E52" s="29" t="str">
        <x:v>D</x:v>
      </x:c>
      <x:c r="F52" s="29" t="n">
        <x:v>4</x:v>
      </x:c>
      <x:c r="G52" s="29" t="n">
        <x:v>200</x:v>
      </x:c>
      <x:c r="H52" s="29" t="str">
        <x:v>mistralai/mistral-large-2512</x:v>
      </x:c>
      <x:c r="I52" s="29" t="str">
        <x:v>Mistral</x:v>
      </x:c>
      <x:c r="J52" s="29" t="str">
        <x:v>gen-1786665676-PLwKjhFP57pqc9Ud9RuM</x:v>
      </x:c>
      <x:c r="K52" s="29" t="n">
        <x:v>162</x:v>
      </x:c>
      <x:c r="L52" s="29" t="n">
        <x:v>1505</x:v>
      </x:c>
      <x:c r="M52" s="29" t="n">
        <x:v>1667</x:v>
      </x:c>
      <x:c r="N52" s="31" t="n">
        <x:v>0.0023385</x:v>
      </x:c>
      <x:c r="O52" s="29" t="n">
        <x:v>4874</x:v>
      </x:c>
      <x:c r="P52" s="29" t="n">
        <x:v>1</x:v>
      </x:c>
      <x:c r="Q52" s="29" t="n">
        <x:v>1</x:v>
      </x:c>
      <x:c r="R52" s="29" t="n">
        <x:v>1</x:v>
      </x:c>
      <x:c r="S52" s="29" t="n">
        <x:v>1</x:v>
      </x:c>
      <x:c r="T52" s="29" t="n">
        <x:v>0</x:v>
      </x:c>
      <x:c r="U52" s="29" t="str">
        <x:v>E</x:v>
      </x:c>
      <x:c r="V52" s="29" t="str">
        <x:v>E</x:v>
      </x:c>
      <x:c r="W52" s="29" t="str">
        <x:v>E</x:v>
      </x:c>
      <x:c r="X52" s="29" t="n">
        <x:v>1</x:v>
      </x:c>
      <x:c r="Y52" s="29" t="n">
        <x:v>1</x:v>
      </x:c>
      <x:c r="Z52" s="29" t="n">
        <x:v>0</x:v>
      </x:c>
      <x:c r="AA52" s="32" t="str">
        <x:v>Explicit exhaustive enumeration of all feasible paths.</x:v>
      </x:c>
    </x:row>
    <x:row r="53" ht="34" customHeight="1">
      <x:c r="A53" s="29" t="str">
        <x:v>mistral_C05</x:v>
      </x:c>
      <x:c r="B53" s="30" t="n">
        <x:v>46248.00137336805</x:v>
      </x:c>
      <x:c r="C53" s="29" t="str">
        <x:v>C/D high multiplicity</x:v>
      </x:c>
      <x:c r="D53" s="29" t="str">
        <x:v>mistral</x:v>
      </x:c>
      <x:c r="E53" s="29" t="str">
        <x:v>C</x:v>
      </x:c>
      <x:c r="F53" s="29" t="n">
        <x:v>5</x:v>
      </x:c>
      <x:c r="G53" s="29" t="n">
        <x:v>200</x:v>
      </x:c>
      <x:c r="H53" s="29" t="str">
        <x:v>mistralai/mistral-large-2512</x:v>
      </x:c>
      <x:c r="I53" s="29" t="str">
        <x:v>Mistral</x:v>
      </x:c>
      <x:c r="J53" s="29" t="str">
        <x:v>gen-1786665695-xqvHZiJB8MexJJWU9uu4</x:v>
      </x:c>
      <x:c r="K53" s="29" t="n">
        <x:v>162</x:v>
      </x:c>
      <x:c r="L53" s="29" t="n">
        <x:v>1948</x:v>
      </x:c>
      <x:c r="M53" s="29" t="n">
        <x:v>2110</x:v>
      </x:c>
      <x:c r="N53" s="31" t="n">
        <x:v>0.0029382</x:v>
      </x:c>
      <x:c r="O53" s="29" t="n">
        <x:v>6091</x:v>
      </x:c>
      <x:c r="P53" s="29" t="n">
        <x:v>1</x:v>
      </x:c>
      <x:c r="Q53" s="29" t="n">
        <x:v>1</x:v>
      </x:c>
      <x:c r="R53" s="29" t="n">
        <x:v>1</x:v>
      </x:c>
      <x:c r="S53" s="29" t="n">
        <x:v>1</x:v>
      </x:c>
      <x:c r="T53" s="29" t="n">
        <x:v>0</x:v>
      </x:c>
      <x:c r="U53" s="29" t="str">
        <x:v>D</x:v>
      </x:c>
      <x:c r="V53" s="29" t="str">
        <x:v>D</x:v>
      </x:c>
      <x:c r="W53" s="29" t="str">
        <x:v>D</x:v>
      </x:c>
      <x:c r="X53" s="29" t="n">
        <x:v>1</x:v>
      </x:c>
      <x:c r="Y53" s="29" t="n">
        <x:v>1</x:v>
      </x:c>
      <x:c r="Z53" s="29" t="n">
        <x:v>0</x:v>
      </x:c>
      <x:c r="AA53" s="32" t="str">
        <x:v>Modified Dijkstra with tied-path tracking.</x:v>
      </x:c>
    </x:row>
    <x:row r="54" ht="34" customHeight="1">
      <x:c r="A54" s="29" t="str">
        <x:v>mistral_D05</x:v>
      </x:c>
      <x:c r="B54" s="30" t="n">
        <x:v>46248.00157383102</x:v>
      </x:c>
      <x:c r="C54" s="29" t="str">
        <x:v>C/D high multiplicity</x:v>
      </x:c>
      <x:c r="D54" s="29" t="str">
        <x:v>mistral</x:v>
      </x:c>
      <x:c r="E54" s="29" t="str">
        <x:v>D</x:v>
      </x:c>
      <x:c r="F54" s="29" t="n">
        <x:v>5</x:v>
      </x:c>
      <x:c r="G54" s="29" t="n">
        <x:v>200</x:v>
      </x:c>
      <x:c r="H54" s="29" t="str">
        <x:v>mistralai/mistral-large-2512</x:v>
      </x:c>
      <x:c r="I54" s="29" t="str">
        <x:v>Mistral</x:v>
      </x:c>
      <x:c r="J54" s="29" t="str">
        <x:v>gen-1786665719-w6jqf48unA4cetANeSb2</x:v>
      </x:c>
      <x:c r="K54" s="29" t="n">
        <x:v>162</x:v>
      </x:c>
      <x:c r="L54" s="29" t="n">
        <x:v>1367</x:v>
      </x:c>
      <x:c r="M54" s="29" t="n">
        <x:v>1529</x:v>
      </x:c>
      <x:c r="N54" s="31" t="n">
        <x:v>0.0021315</x:v>
      </x:c>
      <x:c r="O54" s="29" t="n">
        <x:v>4141</x:v>
      </x:c>
      <x:c r="P54" s="29" t="n">
        <x:v>1</x:v>
      </x:c>
      <x:c r="Q54" s="29" t="n">
        <x:v>1</x:v>
      </x:c>
      <x:c r="R54" s="29" t="n">
        <x:v>1</x:v>
      </x:c>
      <x:c r="S54" s="29" t="n">
        <x:v>1</x:v>
      </x:c>
      <x:c r="T54" s="29" t="n">
        <x:v>0</x:v>
      </x:c>
      <x:c r="U54" s="29" t="str">
        <x:v>E</x:v>
      </x:c>
      <x:c r="V54" s="29" t="str">
        <x:v>E</x:v>
      </x:c>
      <x:c r="W54" s="29" t="str">
        <x:v>E</x:v>
      </x:c>
      <x:c r="X54" s="29" t="n">
        <x:v>1</x:v>
      </x:c>
      <x:c r="Y54" s="29" t="n">
        <x:v>1</x:v>
      </x:c>
      <x:c r="Z54" s="29" t="n">
        <x:v>0</x:v>
      </x:c>
      <x:c r="AA54" s="32" t="str">
        <x:v>Explicit exhaustive enumeration of all feasible paths.</x:v>
      </x:c>
    </x:row>
    <x:row r="55" ht="34" customHeight="1">
      <x:c r="A55" s="29" t="str">
        <x:v>deepseek_C01</x:v>
      </x:c>
      <x:c r="B55" s="30" t="n">
        <x:v>46248.00202856481</x:v>
      </x:c>
      <x:c r="C55" s="29" t="str">
        <x:v>C/D high multiplicity</x:v>
      </x:c>
      <x:c r="D55" s="29" t="str">
        <x:v>deepseek</x:v>
      </x:c>
      <x:c r="E55" s="29" t="str">
        <x:v>C</x:v>
      </x:c>
      <x:c r="F55" s="29" t="n">
        <x:v>1</x:v>
      </x:c>
      <x:c r="G55" s="29" t="n">
        <x:v>200</x:v>
      </x:c>
      <x:c r="H55" s="29" t="str">
        <x:v>deepseek/deepseek-v3.2-exp</x:v>
      </x:c>
      <x:c r="I55" s="29" t="str">
        <x:v>SiliconFlow</x:v>
      </x:c>
      <x:c r="J55" s="29" t="str">
        <x:v>gen-1786665737-SRaxYQ4vzj4tt0XyJSFC</x:v>
      </x:c>
      <x:c r="K55" s="29" t="n">
        <x:v>175</x:v>
      </x:c>
      <x:c r="L55" s="29" t="n">
        <x:v>972</x:v>
      </x:c>
      <x:c r="M55" s="29" t="n">
        <x:v>1147</x:v>
      </x:c>
      <x:c r="N55" s="31" t="n">
        <x:v>0.00044577</x:v>
      </x:c>
      <x:c r="O55" s="29" t="n">
        <x:v>3391</x:v>
      </x:c>
      <x:c r="P55" s="29" t="n">
        <x:v>1</x:v>
      </x:c>
      <x:c r="Q55" s="29" t="n">
        <x:v>1</x:v>
      </x:c>
      <x:c r="R55" s="29" t="n">
        <x:v>1</x:v>
      </x:c>
      <x:c r="S55" s="29" t="n">
        <x:v>1</x:v>
      </x:c>
      <x:c r="T55" s="29" t="n">
        <x:v>0</x:v>
      </x:c>
      <x:c r="U55" s="29" t="str">
        <x:v>E</x:v>
      </x:c>
      <x:c r="V55" s="29" t="str">
        <x:v>D+E</x:v>
      </x:c>
      <x:c r="W55" s="29" t="str">
        <x:v>E→D</x:v>
      </x:c>
      <x:c r="X55" s="29" t="n">
        <x:v>1</x:v>
      </x:c>
      <x:c r="Y55" s="29" t="n">
        <x:v>1</x:v>
      </x:c>
      <x:c r="Z55" s="29" t="n">
        <x:v>0</x:v>
      </x:c>
      <x:c r="AA55" s="32" t="str">
        <x:v>Exhaustive enumeration followed by conceptual Dijkstra/backtracking.</x:v>
      </x:c>
    </x:row>
    <x:row r="56" ht="34" customHeight="1">
      <x:c r="A56" s="29" t="str">
        <x:v>deepseek_D01</x:v>
      </x:c>
      <x:c r="B56" s="30" t="n">
        <x:v>46248.002625787034</x:v>
      </x:c>
      <x:c r="C56" s="29" t="str">
        <x:v>C/D high multiplicity</x:v>
      </x:c>
      <x:c r="D56" s="29" t="str">
        <x:v>deepseek</x:v>
      </x:c>
      <x:c r="E56" s="29" t="str">
        <x:v>D</x:v>
      </x:c>
      <x:c r="F56" s="29" t="n">
        <x:v>1</x:v>
      </x:c>
      <x:c r="G56" s="29" t="n">
        <x:v>200</x:v>
      </x:c>
      <x:c r="H56" s="29" t="str">
        <x:v>deepseek/deepseek-v3.2-exp</x:v>
      </x:c>
      <x:c r="I56" s="29" t="str">
        <x:v>SiliconFlow</x:v>
      </x:c>
      <x:c r="J56" s="29" t="str">
        <x:v>gen-1786665776-SBHMuAH3AAgTDQZS8FR7</x:v>
      </x:c>
      <x:c r="K56" s="29" t="n">
        <x:v>175</x:v>
      </x:c>
      <x:c r="L56" s="29" t="n">
        <x:v>1236</x:v>
      </x:c>
      <x:c r="M56" s="29" t="n">
        <x:v>1411</x:v>
      </x:c>
      <x:c r="N56" s="31" t="n">
        <x:v>0.00055401</x:v>
      </x:c>
      <x:c r="O56" s="29" t="n">
        <x:v>4693</x:v>
      </x:c>
      <x:c r="P56" s="29" t="n">
        <x:v>1</x:v>
      </x:c>
      <x:c r="Q56" s="29" t="n">
        <x:v>1</x:v>
      </x:c>
      <x:c r="R56" s="29" t="n">
        <x:v>1</x:v>
      </x:c>
      <x:c r="S56" s="29" t="n">
        <x:v>1</x:v>
      </x:c>
      <x:c r="T56" s="29" t="n">
        <x:v>0</x:v>
      </x:c>
      <x:c r="U56" s="29" t="str">
        <x:v>D</x:v>
      </x:c>
      <x:c r="V56" s="29" t="str">
        <x:v>D</x:v>
      </x:c>
      <x:c r="W56" s="29" t="str">
        <x:v>D</x:v>
      </x:c>
      <x:c r="X56" s="29" t="n">
        <x:v>1</x:v>
      </x:c>
      <x:c r="Y56" s="29" t="n">
        <x:v>1</x:v>
      </x:c>
      <x:c r="Z56" s="29" t="n">
        <x:v>0</x:v>
      </x:c>
      <x:c r="AA56" s="32" t="str">
        <x:v>Dijkstra with shortest-edge predecessor backtracking.</x:v>
      </x:c>
    </x:row>
    <x:row r="57" ht="34" customHeight="1">
      <x:c r="A57" s="29" t="str">
        <x:v>deepseek_D02</x:v>
      </x:c>
      <x:c r="B57" s="30" t="n">
        <x:v>46248.00322820602</x:v>
      </x:c>
      <x:c r="C57" s="29" t="str">
        <x:v>C/D high multiplicity</x:v>
      </x:c>
      <x:c r="D57" s="29" t="str">
        <x:v>deepseek</x:v>
      </x:c>
      <x:c r="E57" s="29" t="str">
        <x:v>D</x:v>
      </x:c>
      <x:c r="F57" s="29" t="n">
        <x:v>2</x:v>
      </x:c>
      <x:c r="G57" s="29" t="n">
        <x:v>200</x:v>
      </x:c>
      <x:c r="H57" s="29" t="str">
        <x:v>deepseek/deepseek-v3.2-exp</x:v>
      </x:c>
      <x:c r="I57" s="29" t="str">
        <x:v>SiliconFlow</x:v>
      </x:c>
      <x:c r="J57" s="29" t="str">
        <x:v>gen-1786665828-RmfXUjh3dgVVUz8LulaO</x:v>
      </x:c>
      <x:c r="K57" s="29" t="n">
        <x:v>175</x:v>
      </x:c>
      <x:c r="L57" s="29" t="n">
        <x:v>1386</x:v>
      </x:c>
      <x:c r="M57" s="29" t="n">
        <x:v>1561</x:v>
      </x:c>
      <x:c r="N57" s="31" t="n">
        <x:v>0.00061551</x:v>
      </x:c>
      <x:c r="O57" s="29" t="n">
        <x:v>5274</x:v>
      </x:c>
      <x:c r="P57" s="29" t="n">
        <x:v>1</x:v>
      </x:c>
      <x:c r="Q57" s="29" t="n">
        <x:v>1</x:v>
      </x:c>
      <x:c r="R57" s="29" t="n">
        <x:v>1</x:v>
      </x:c>
      <x:c r="S57" s="29" t="n">
        <x:v>1</x:v>
      </x:c>
      <x:c r="T57" s="29" t="n">
        <x:v>0</x:v>
      </x:c>
      <x:c r="U57" s="29" t="str">
        <x:v>E</x:v>
      </x:c>
      <x:c r="V57" s="29" t="str">
        <x:v>D+E</x:v>
      </x:c>
      <x:c r="W57" s="29" t="str">
        <x:v>E→D</x:v>
      </x:c>
      <x:c r="X57" s="29" t="n">
        <x:v>1</x:v>
      </x:c>
      <x:c r="Y57" s="29" t="n">
        <x:v>1</x:v>
      </x:c>
      <x:c r="Z57" s="29" t="n">
        <x:v>0</x:v>
      </x:c>
      <x:c r="AA57" s="32" t="str">
        <x:v>Exhaustive enumeration followed by Dijkstra/backtracking verification.</x:v>
      </x:c>
    </x:row>
    <x:row r="58" ht="34" customHeight="1">
      <x:c r="A58" s="29" t="str">
        <x:v>deepseek_C02</x:v>
      </x:c>
      <x:c r="B58" s="30" t="n">
        <x:v>46248.00365194445</x:v>
      </x:c>
      <x:c r="C58" s="29" t="str">
        <x:v>C/D high multiplicity</x:v>
      </x:c>
      <x:c r="D58" s="29" t="str">
        <x:v>deepseek</x:v>
      </x:c>
      <x:c r="E58" s="29" t="str">
        <x:v>C</x:v>
      </x:c>
      <x:c r="F58" s="29" t="n">
        <x:v>2</x:v>
      </x:c>
      <x:c r="G58" s="29" t="n">
        <x:v>200</x:v>
      </x:c>
      <x:c r="H58" s="29" t="str">
        <x:v>deepseek/deepseek-v3.2-exp</x:v>
      </x:c>
      <x:c r="I58" s="29" t="str">
        <x:v>SiliconFlow</x:v>
      </x:c>
      <x:c r="J58" s="29" t="str">
        <x:v>gen-1786665880-kcSAxJJyTt6b9Fd862p8</x:v>
      </x:c>
      <x:c r="K58" s="29" t="n">
        <x:v>175</x:v>
      </x:c>
      <x:c r="L58" s="29" t="n">
        <x:v>904</x:v>
      </x:c>
      <x:c r="M58" s="29" t="n">
        <x:v>1079</x:v>
      </x:c>
      <x:c r="N58" s="31" t="n">
        <x:v>0.00041789</x:v>
      </x:c>
      <x:c r="O58" s="29" t="n">
        <x:v>3370</x:v>
      </x:c>
      <x:c r="P58" s="29" t="n">
        <x:v>1</x:v>
      </x:c>
      <x:c r="Q58" s="29" t="n">
        <x:v>1</x:v>
      </x:c>
      <x:c r="R58" s="29" t="n">
        <x:v>1</x:v>
      </x:c>
      <x:c r="S58" s="29" t="n">
        <x:v>1</x:v>
      </x:c>
      <x:c r="T58" s="29" t="n">
        <x:v>0</x:v>
      </x:c>
      <x:c r="U58" s="29" t="str">
        <x:v>D</x:v>
      </x:c>
      <x:c r="V58" s="29" t="str">
        <x:v>D</x:v>
      </x:c>
      <x:c r="W58" s="29" t="str">
        <x:v>D</x:v>
      </x:c>
      <x:c r="X58" s="29" t="n">
        <x:v>1</x:v>
      </x:c>
      <x:c r="Y58" s="29" t="n">
        <x:v>1</x:v>
      </x:c>
      <x:c r="Z58" s="29" t="n">
        <x:v>0</x:v>
      </x:c>
      <x:c r="AA58" s="32" t="str">
        <x:v>Dijkstra with tied-predecessor tracing.</x:v>
      </x:c>
    </x:row>
    <x:row r="59" ht="34" customHeight="1">
      <x:c r="A59" s="29" t="str">
        <x:v>deepseek_D03</x:v>
      </x:c>
      <x:c r="B59" s="30" t="n">
        <x:v>46248.004065925925</x:v>
      </x:c>
      <x:c r="C59" s="29" t="str">
        <x:v>C/D high multiplicity</x:v>
      </x:c>
      <x:c r="D59" s="29" t="str">
        <x:v>deepseek</x:v>
      </x:c>
      <x:c r="E59" s="29" t="str">
        <x:v>D</x:v>
      </x:c>
      <x:c r="F59" s="29" t="n">
        <x:v>3</x:v>
      </x:c>
      <x:c r="G59" s="29" t="n">
        <x:v>200</x:v>
      </x:c>
      <x:c r="H59" s="29" t="str">
        <x:v>deepseek/deepseek-v3.2-exp</x:v>
      </x:c>
      <x:c r="I59" s="29" t="str">
        <x:v>SiliconFlow</x:v>
      </x:c>
      <x:c r="J59" s="29" t="str">
        <x:v>gen-1786665916-gs6U5lONUEDnRHDVixUz</x:v>
      </x:c>
      <x:c r="K59" s="29" t="n">
        <x:v>175</x:v>
      </x:c>
      <x:c r="L59" s="29" t="n">
        <x:v>856</x:v>
      </x:c>
      <x:c r="M59" s="29" t="n">
        <x:v>1031</x:v>
      </x:c>
      <x:c r="N59" s="31" t="n">
        <x:v>0.00039821</x:v>
      </x:c>
      <x:c r="O59" s="29" t="n">
        <x:v>2903</x:v>
      </x:c>
      <x:c r="P59" s="29" t="n">
        <x:v>1</x:v>
      </x:c>
      <x:c r="Q59" s="29" t="n">
        <x:v>1</x:v>
      </x:c>
      <x:c r="R59" s="29" t="n">
        <x:v>1</x:v>
      </x:c>
      <x:c r="S59" s="29" t="n">
        <x:v>1</x:v>
      </x:c>
      <x:c r="T59" s="29" t="n">
        <x:v>0</x:v>
      </x:c>
      <x:c r="U59" s="29" t="str">
        <x:v>D</x:v>
      </x:c>
      <x:c r="V59" s="29" t="str">
        <x:v>D+E</x:v>
      </x:c>
      <x:c r="W59" s="29" t="str">
        <x:v>D→E</x:v>
      </x:c>
      <x:c r="X59" s="29" t="n">
        <x:v>1</x:v>
      </x:c>
      <x:c r="Y59" s="29" t="n">
        <x:v>1</x:v>
      </x:c>
      <x:c r="Z59" s="29" t="n">
        <x:v>0</x:v>
      </x:c>
      <x:c r="AA59" s="32" t="str">
        <x:v>Dijkstra first, followed by a systematic all-route check.</x:v>
      </x:c>
    </x:row>
    <x:row r="60" ht="34" customHeight="1">
      <x:c r="A60" s="29" t="str">
        <x:v>deepseek_C03</x:v>
      </x:c>
      <x:c r="B60" s="30" t="n">
        <x:v>46248.00456238426</x:v>
      </x:c>
      <x:c r="C60" s="29" t="str">
        <x:v>C/D high multiplicity</x:v>
      </x:c>
      <x:c r="D60" s="29" t="str">
        <x:v>deepseek</x:v>
      </x:c>
      <x:c r="E60" s="29" t="str">
        <x:v>C</x:v>
      </x:c>
      <x:c r="F60" s="29" t="n">
        <x:v>3</x:v>
      </x:c>
      <x:c r="G60" s="29" t="n">
        <x:v>200</x:v>
      </x:c>
      <x:c r="H60" s="29" t="str">
        <x:v>deepseek/deepseek-v3.2-exp</x:v>
      </x:c>
      <x:c r="I60" s="29" t="str">
        <x:v>SiliconFlow</x:v>
      </x:c>
      <x:c r="J60" s="29" t="str">
        <x:v>gen-1786665952-Yn5dZhuDais9utdLj9Lg</x:v>
      </x:c>
      <x:c r="K60" s="29" t="n">
        <x:v>175</x:v>
      </x:c>
      <x:c r="L60" s="29" t="n">
        <x:v>1049</x:v>
      </x:c>
      <x:c r="M60" s="29" t="n">
        <x:v>1224</x:v>
      </x:c>
      <x:c r="N60" s="31" t="n">
        <x:v>0.00047734</x:v>
      </x:c>
      <x:c r="O60" s="29" t="n">
        <x:v>3623</x:v>
      </x:c>
      <x:c r="P60" s="29" t="n">
        <x:v>1</x:v>
      </x:c>
      <x:c r="Q60" s="29" t="n">
        <x:v>1</x:v>
      </x:c>
      <x:c r="R60" s="29" t="n">
        <x:v>1</x:v>
      </x:c>
      <x:c r="S60" s="29" t="n">
        <x:v>1</x:v>
      </x:c>
      <x:c r="T60" s="29" t="n">
        <x:v>0</x:v>
      </x:c>
      <x:c r="U60" s="29" t="str">
        <x:v>E</x:v>
      </x:c>
      <x:c r="V60" s="29" t="str">
        <x:v>E</x:v>
      </x:c>
      <x:c r="W60" s="29" t="str">
        <x:v>E</x:v>
      </x:c>
      <x:c r="X60" s="29" t="n">
        <x:v>1</x:v>
      </x:c>
      <x:c r="Y60" s="29" t="n">
        <x:v>1</x:v>
      </x:c>
      <x:c r="Z60" s="29" t="n">
        <x:v>0</x:v>
      </x:c>
      <x:c r="AA60" s="32" t="str">
        <x:v>Brute-force/systematic path enumeration.</x:v>
      </x:c>
    </x:row>
    <x:row r="61" ht="34" customHeight="1">
      <x:c r="A61" s="29" t="str">
        <x:v>deepseek_C04</x:v>
      </x:c>
      <x:c r="B61" s="30" t="n">
        <x:v>46248.00503064815</x:v>
      </x:c>
      <x:c r="C61" s="29" t="str">
        <x:v>C/D high multiplicity</x:v>
      </x:c>
      <x:c r="D61" s="29" t="str">
        <x:v>deepseek</x:v>
      </x:c>
      <x:c r="E61" s="29" t="str">
        <x:v>C</x:v>
      </x:c>
      <x:c r="F61" s="29" t="n">
        <x:v>4</x:v>
      </x:c>
      <x:c r="G61" s="29" t="n">
        <x:v>200</x:v>
      </x:c>
      <x:c r="H61" s="29" t="str">
        <x:v>deepseek/deepseek-v3.2-exp</x:v>
      </x:c>
      <x:c r="I61" s="29" t="str">
        <x:v>SiliconFlow</x:v>
      </x:c>
      <x:c r="J61" s="29" t="str">
        <x:v>gen-1786665995-VgaxDD3r6zTBTJCTidn7</x:v>
      </x:c>
      <x:c r="K61" s="29" t="n">
        <x:v>175</x:v>
      </x:c>
      <x:c r="L61" s="29" t="n">
        <x:v>919</x:v>
      </x:c>
      <x:c r="M61" s="29" t="n">
        <x:v>1094</x:v>
      </x:c>
      <x:c r="N61" s="31" t="n">
        <x:v>0.00042404</x:v>
      </x:c>
      <x:c r="O61" s="29" t="n">
        <x:v>3236</x:v>
      </x:c>
      <x:c r="P61" s="29" t="n">
        <x:v>1</x:v>
      </x:c>
      <x:c r="Q61" s="29" t="n">
        <x:v>1</x:v>
      </x:c>
      <x:c r="R61" s="29" t="n">
        <x:v>1</x:v>
      </x:c>
      <x:c r="S61" s="29" t="n">
        <x:v>1</x:v>
      </x:c>
      <x:c r="T61" s="29" t="n">
        <x:v>0</x:v>
      </x:c>
      <x:c r="U61" s="29" t="str">
        <x:v>D</x:v>
      </x:c>
      <x:c r="V61" s="29" t="str">
        <x:v>D+E</x:v>
      </x:c>
      <x:c r="W61" s="29" t="str">
        <x:v>D→E</x:v>
      </x:c>
      <x:c r="X61" s="29" t="n">
        <x:v>1</x:v>
      </x:c>
      <x:c r="Y61" s="29" t="n">
        <x:v>1</x:v>
      </x:c>
      <x:c r="Z61" s="29" t="n">
        <x:v>0</x:v>
      </x:c>
      <x:c r="AA61" s="32" t="str">
        <x:v>Dijkstra first, followed by explicit enumeration of all attaining paths.</x:v>
      </x:c>
    </x:row>
    <x:row r="62" ht="34" customHeight="1">
      <x:c r="A62" s="29" t="str">
        <x:v>deepseek_D04</x:v>
      </x:c>
      <x:c r="B62" s="30" t="n">
        <x:v>46248.005631354165</x:v>
      </x:c>
      <x:c r="C62" s="29" t="str">
        <x:v>C/D high multiplicity</x:v>
      </x:c>
      <x:c r="D62" s="29" t="str">
        <x:v>deepseek</x:v>
      </x:c>
      <x:c r="E62" s="29" t="str">
        <x:v>D</x:v>
      </x:c>
      <x:c r="F62" s="29" t="n">
        <x:v>4</x:v>
      </x:c>
      <x:c r="G62" s="29" t="n">
        <x:v>200</x:v>
      </x:c>
      <x:c r="H62" s="29" t="str">
        <x:v>deepseek/deepseek-v3.2-exp</x:v>
      </x:c>
      <x:c r="I62" s="29" t="str">
        <x:v>SiliconFlow</x:v>
      </x:c>
      <x:c r="J62" s="29" t="str">
        <x:v>gen-1786666035-pFC9ae0dNtjTpC6V6ID9</x:v>
      </x:c>
      <x:c r="K62" s="29" t="n">
        <x:v>175</x:v>
      </x:c>
      <x:c r="L62" s="29" t="n">
        <x:v>1234</x:v>
      </x:c>
      <x:c r="M62" s="29" t="n">
        <x:v>1409</x:v>
      </x:c>
      <x:c r="N62" s="31" t="n">
        <x:v>0.00055319</x:v>
      </x:c>
      <x:c r="O62" s="29" t="n">
        <x:v>4700</x:v>
      </x:c>
      <x:c r="P62" s="29" t="n">
        <x:v>1</x:v>
      </x:c>
      <x:c r="Q62" s="29" t="n">
        <x:v>1</x:v>
      </x:c>
      <x:c r="R62" s="29" t="n">
        <x:v>1</x:v>
      </x:c>
      <x:c r="S62" s="29" t="n">
        <x:v>1</x:v>
      </x:c>
      <x:c r="T62" s="29" t="n">
        <x:v>0</x:v>
      </x:c>
      <x:c r="U62" s="29" t="str">
        <x:v>D</x:v>
      </x:c>
      <x:c r="V62" s="29" t="str">
        <x:v>D</x:v>
      </x:c>
      <x:c r="W62" s="29" t="str">
        <x:v>D</x:v>
      </x:c>
      <x:c r="X62" s="29" t="n">
        <x:v>1</x:v>
      </x:c>
      <x:c r="Y62" s="29" t="n">
        <x:v>1</x:v>
      </x:c>
      <x:c r="Z62" s="29" t="n">
        <x:v>0</x:v>
      </x:c>
      <x:c r="AA62" s="32" t="str">
        <x:v>Dijkstra with shortest-edge predecessor backtracking.</x:v>
      </x:c>
    </x:row>
    <x:row r="63" ht="34" customHeight="1">
      <x:c r="A63" s="29" t="str">
        <x:v>deepseek_C05</x:v>
      </x:c>
      <x:c r="B63" s="30" t="n">
        <x:v>46248.006224756944</x:v>
      </x:c>
      <x:c r="C63" s="29" t="str">
        <x:v>C/D high multiplicity</x:v>
      </x:c>
      <x:c r="D63" s="29" t="str">
        <x:v>deepseek</x:v>
      </x:c>
      <x:c r="E63" s="29" t="str">
        <x:v>C</x:v>
      </x:c>
      <x:c r="F63" s="29" t="n">
        <x:v>5</x:v>
      </x:c>
      <x:c r="G63" s="29" t="n">
        <x:v>200</x:v>
      </x:c>
      <x:c r="H63" s="29" t="str">
        <x:v>deepseek/deepseek-v3.2-exp</x:v>
      </x:c>
      <x:c r="I63" s="29" t="str">
        <x:v>SiliconFlow</x:v>
      </x:c>
      <x:c r="J63" s="29" t="str">
        <x:v>gen-1786666087-xRAcHcmQgmcyvEdUU7yx</x:v>
      </x:c>
      <x:c r="K63" s="29" t="n">
        <x:v>175</x:v>
      </x:c>
      <x:c r="L63" s="29" t="n">
        <x:v>1210</x:v>
      </x:c>
      <x:c r="M63" s="29" t="n">
        <x:v>1385</x:v>
      </x:c>
      <x:c r="N63" s="31" t="n">
        <x:v>0.00054335</x:v>
      </x:c>
      <x:c r="O63" s="29" t="n">
        <x:v>4628</x:v>
      </x:c>
      <x:c r="P63" s="29" t="n">
        <x:v>1</x:v>
      </x:c>
      <x:c r="Q63" s="29" t="n">
        <x:v>1</x:v>
      </x:c>
      <x:c r="R63" s="29" t="n">
        <x:v>1</x:v>
      </x:c>
      <x:c r="S63" s="29" t="n">
        <x:v>1</x:v>
      </x:c>
      <x:c r="T63" s="29" t="n">
        <x:v>0</x:v>
      </x:c>
      <x:c r="U63" s="29" t="str">
        <x:v>E</x:v>
      </x:c>
      <x:c r="V63" s="29" t="str">
        <x:v>D+E</x:v>
      </x:c>
      <x:c r="W63" s="29" t="str">
        <x:v>E→D</x:v>
      </x:c>
      <x:c r="X63" s="29" t="n">
        <x:v>1</x:v>
      </x:c>
      <x:c r="Y63" s="29" t="n">
        <x:v>1</x:v>
      </x:c>
      <x:c r="Z63" s="29" t="n">
        <x:v>0</x:v>
      </x:c>
      <x:c r="AA63" s="32" t="str">
        <x:v>Enumerates candidate paths first, then verifies with Dijkstra/backtracking.</x:v>
      </x:c>
    </x:row>
    <x:row r="64" ht="34" customHeight="1">
      <x:c r="A64" s="29" t="str">
        <x:v>deepseek_D05</x:v>
      </x:c>
      <x:c r="B64" s="30" t="n">
        <x:v>46248.006785625</x:v>
      </x:c>
      <x:c r="C64" s="29" t="str">
        <x:v>C/D high multiplicity</x:v>
      </x:c>
      <x:c r="D64" s="29" t="str">
        <x:v>deepseek</x:v>
      </x:c>
      <x:c r="E64" s="29" t="str">
        <x:v>D</x:v>
      </x:c>
      <x:c r="F64" s="29" t="n">
        <x:v>5</x:v>
      </x:c>
      <x:c r="G64" s="29" t="n">
        <x:v>200</x:v>
      </x:c>
      <x:c r="H64" s="29" t="str">
        <x:v>deepseek/deepseek-v3.2-exp</x:v>
      </x:c>
      <x:c r="I64" s="29" t="str">
        <x:v>SiliconFlow</x:v>
      </x:c>
      <x:c r="J64" s="29" t="str">
        <x:v>gen-1786666139-0PO3KOh8ogo1kblZ2AGO</x:v>
      </x:c>
      <x:c r="K64" s="29" t="n">
        <x:v>175</x:v>
      </x:c>
      <x:c r="L64" s="29" t="n">
        <x:v>1306</x:v>
      </x:c>
      <x:c r="M64" s="29" t="n">
        <x:v>1481</x:v>
      </x:c>
      <x:c r="N64" s="31" t="n">
        <x:v>0.00058271</x:v>
      </x:c>
      <x:c r="O64" s="29" t="n">
        <x:v>4550</x:v>
      </x:c>
      <x:c r="P64" s="29" t="n">
        <x:v>1</x:v>
      </x:c>
      <x:c r="Q64" s="29" t="n">
        <x:v>1</x:v>
      </x:c>
      <x:c r="R64" s="29" t="n">
        <x:v>1</x:v>
      </x:c>
      <x:c r="S64" s="29" t="n">
        <x:v>1</x:v>
      </x:c>
      <x:c r="T64" s="29" t="n">
        <x:v>0</x:v>
      </x:c>
      <x:c r="U64" s="29" t="str">
        <x:v>E</x:v>
      </x:c>
      <x:c r="V64" s="29" t="str">
        <x:v>D+E</x:v>
      </x:c>
      <x:c r="W64" s="29" t="str">
        <x:v>E→D</x:v>
      </x:c>
      <x:c r="X64" s="29" t="n">
        <x:v>1</x:v>
      </x:c>
      <x:c r="Y64" s="29" t="n">
        <x:v>1</x:v>
      </x:c>
      <x:c r="Z64" s="29" t="n">
        <x:v>0</x:v>
      </x:c>
      <x:c r="AA64" s="32" t="str">
        <x:v>Exhaustive enumeration followed by Dijkstra/backtracking verification.</x:v>
      </x:c>
    </x:row>
    <x:row r="65" ht="34" customHeight="1">
      <x:c r="A65" s="29" t="str">
        <x:v>claude_E01</x:v>
      </x:c>
      <x:c r="B65" s="30" t="n">
        <x:v>46248.05919866898</x:v>
      </x:c>
      <x:c r="C65" s="29" t="str">
        <x:v>E/H search burden</x:v>
      </x:c>
      <x:c r="D65" s="29" t="str">
        <x:v>claude</x:v>
      </x:c>
      <x:c r="E65" s="29" t="str">
        <x:v>E</x:v>
      </x:c>
      <x:c r="F65" s="29" t="n">
        <x:v>1</x:v>
      </x:c>
      <x:c r="G65" s="29" t="n">
        <x:v>200</x:v>
      </x:c>
      <x:c r="H65" s="29" t="str">
        <x:v>anthropic/claude-sonnet-4.6</x:v>
      </x:c>
      <x:c r="I65" s="29" t="str">
        <x:v>Anthropic</x:v>
      </x:c>
      <x:c r="J65" s="29" t="str">
        <x:v>gen-1786670704-I23zhNXnnuzxlUr9AEBI</x:v>
      </x:c>
      <x:c r="K65" s="29" t="n">
        <x:v>231</x:v>
      </x:c>
      <x:c r="L65" s="29" t="n">
        <x:v>714</x:v>
      </x:c>
      <x:c r="M65" s="29" t="n">
        <x:v>945</x:v>
      </x:c>
      <x:c r="N65" s="31" t="n">
        <x:v>0.011403</x:v>
      </x:c>
      <x:c r="O65" s="29" t="n">
        <x:v>1404</x:v>
      </x:c>
      <x:c r="P65" s="29" t="n">
        <x:v>1</x:v>
      </x:c>
      <x:c r="Q65" s="29" t="n">
        <x:v>1</x:v>
      </x:c>
      <x:c r="R65" s="29" t="n">
        <x:v>1</x:v>
      </x:c>
      <x:c r="S65" s="29" t="n">
        <x:v>1</x:v>
      </x:c>
      <x:c r="T65" s="29" t="n">
        <x:v>0</x:v>
      </x:c>
      <x:c r="U65" s="29" t="str">
        <x:v>D</x:v>
      </x:c>
      <x:c r="V65" s="29" t="str">
        <x:v>D+E</x:v>
      </x:c>
      <x:c r="W65" s="29" t="str">
        <x:v>D→E</x:v>
      </x:c>
      <x:c r="X65" s="29" t="n">
        <x:v>1</x:v>
      </x:c>
      <x:c r="Y65" s="29" t="n">
        <x:v>1</x:v>
      </x:c>
      <x:c r="Z65" s="29" t="n">
        <x:v>0</x:v>
      </x:c>
      <x:c r="AA65" s="32" t="str">
        <x:v>Distance labels and optimal-edge filtering followed by enumeration of the four attaining paths.</x:v>
      </x:c>
    </x:row>
    <x:row r="66" ht="34" customHeight="1">
      <x:c r="A66" s="29" t="str">
        <x:v>claude_F01</x:v>
      </x:c>
      <x:c r="B66" s="30" t="n">
        <x:v>46248.05935766204</x:v>
      </x:c>
      <x:c r="C66" s="29" t="str">
        <x:v>E/H search burden</x:v>
      </x:c>
      <x:c r="D66" s="29" t="str">
        <x:v>claude</x:v>
      </x:c>
      <x:c r="E66" s="29" t="str">
        <x:v>F</x:v>
      </x:c>
      <x:c r="F66" s="29" t="n">
        <x:v>1</x:v>
      </x:c>
      <x:c r="G66" s="29" t="n">
        <x:v>200</x:v>
      </x:c>
      <x:c r="H66" s="29" t="str">
        <x:v>anthropic/claude-sonnet-4.6</x:v>
      </x:c>
      <x:c r="I66" s="29" t="str">
        <x:v>Anthropic</x:v>
      </x:c>
      <x:c r="J66" s="29" t="str">
        <x:v>gen-1786670715-rM0BPM9rPWllIpgJEO6v</x:v>
      </x:c>
      <x:c r="K66" s="29" t="n">
        <x:v>224</x:v>
      </x:c>
      <x:c r="L66" s="29" t="n">
        <x:v>858</x:v>
      </x:c>
      <x:c r="M66" s="29" t="n">
        <x:v>1082</x:v>
      </x:c>
      <x:c r="N66" s="31" t="n">
        <x:v>0.013542</x:v>
      </x:c>
      <x:c r="O66" s="29" t="n">
        <x:v>1899</x:v>
      </x:c>
      <x:c r="P66" s="29" t="n">
        <x:v>1</x:v>
      </x:c>
      <x:c r="Q66" s="29" t="n">
        <x:v>1</x:v>
      </x:c>
      <x:c r="R66" s="29" t="n">
        <x:v>1</x:v>
      </x:c>
      <x:c r="S66" s="29" t="n">
        <x:v>1</x:v>
      </x:c>
      <x:c r="T66" s="29" t="n">
        <x:v>0</x:v>
      </x:c>
      <x:c r="U66" s="29" t="str">
        <x:v>E</x:v>
      </x:c>
      <x:c r="V66" s="29" t="str">
        <x:v>D+E</x:v>
      </x:c>
      <x:c r="W66" s="29" t="str">
        <x:v>E→D</x:v>
      </x:c>
      <x:c r="X66" s="29" t="n">
        <x:v>1</x:v>
      </x:c>
      <x:c r="Y66" s="29" t="n">
        <x:v>1</x:v>
      </x:c>
      <x:c r="Z66" s="29" t="n">
        <x:v>0</x:v>
      </x:c>
      <x:c r="AA66" s="32" t="str">
        <x:v>Enumerates all nine paths, then verifies the minimum with Dijkstra.</x:v>
      </x:c>
    </x:row>
    <x:row r="67" ht="34" customHeight="1">
      <x:c r="A67" s="29" t="str">
        <x:v>claude_G01</x:v>
      </x:c>
      <x:c r="B67" s="30" t="n">
        <x:v>46248.05950627315</x:v>
      </x:c>
      <x:c r="C67" s="29" t="str">
        <x:v>E/H search burden</x:v>
      </x:c>
      <x:c r="D67" s="29" t="str">
        <x:v>claude</x:v>
      </x:c>
      <x:c r="E67" s="29" t="str">
        <x:v>G</x:v>
      </x:c>
      <x:c r="F67" s="29" t="n">
        <x:v>1</x:v>
      </x:c>
      <x:c r="G67" s="29" t="n">
        <x:v>200</x:v>
      </x:c>
      <x:c r="H67" s="29" t="str">
        <x:v>anthropic/claude-sonnet-4.6</x:v>
      </x:c>
      <x:c r="I67" s="29" t="str">
        <x:v>Anthropic</x:v>
      </x:c>
      <x:c r="J67" s="29" t="str">
        <x:v>gen-1786670729-5npXyBYlNavq7BKvxOme</x:v>
      </x:c>
      <x:c r="K67" s="29" t="n">
        <x:v>294</x:v>
      </x:c>
      <x:c r="L67" s="29" t="n">
        <x:v>867</x:v>
      </x:c>
      <x:c r="M67" s="29" t="n">
        <x:v>1161</x:v>
      </x:c>
      <x:c r="N67" s="31" t="n">
        <x:v>0.013887</x:v>
      </x:c>
      <x:c r="O67" s="29" t="n">
        <x:v>1680</x:v>
      </x:c>
      <x:c r="P67" s="29" t="n">
        <x:v>1</x:v>
      </x:c>
      <x:c r="Q67" s="29" t="n">
        <x:v>1</x:v>
      </x:c>
      <x:c r="R67" s="29" t="n">
        <x:v>1</x:v>
      </x:c>
      <x:c r="S67" s="29" t="n">
        <x:v>1</x:v>
      </x:c>
      <x:c r="T67" s="29" t="n">
        <x:v>0</x:v>
      </x:c>
      <x:c r="U67" s="29" t="str">
        <x:v>D</x:v>
      </x:c>
      <x:c r="V67" s="29" t="str">
        <x:v>D+E</x:v>
      </x:c>
      <x:c r="W67" s="29" t="str">
        <x:v>D→E</x:v>
      </x:c>
      <x:c r="X67" s="29" t="n">
        <x:v>1</x:v>
      </x:c>
      <x:c r="Y67" s="29" t="n">
        <x:v>1</x:v>
      </x:c>
      <x:c r="Z67" s="29" t="n">
        <x:v>0</x:v>
      </x:c>
      <x:c r="AA67" s="32" t="str">
        <x:v>Computes shortest distances, then enumerates the eight paths in the optimal layered subgraph.</x:v>
      </x:c>
    </x:row>
    <x:row r="68" ht="34" customHeight="1">
      <x:c r="A68" s="29" t="str">
        <x:v>claude_H01</x:v>
      </x:c>
      <x:c r="B68" s="30" t="n">
        <x:v>46248.05962118055</x:v>
      </x:c>
      <x:c r="C68" s="29" t="str">
        <x:v>E/H search burden</x:v>
      </x:c>
      <x:c r="D68" s="29" t="str">
        <x:v>claude</x:v>
      </x:c>
      <x:c r="E68" s="29" t="str">
        <x:v>H</x:v>
      </x:c>
      <x:c r="F68" s="29" t="n">
        <x:v>1</x:v>
      </x:c>
      <x:c r="G68" s="29" t="n">
        <x:v>200</x:v>
      </x:c>
      <x:c r="H68" s="29" t="str">
        <x:v>anthropic/claude-sonnet-4.6</x:v>
      </x:c>
      <x:c r="I68" s="29" t="str">
        <x:v>Anthropic</x:v>
      </x:c>
      <x:c r="J68" s="29" t="str">
        <x:v>gen-1786670742-rf7zQT3xGHEevKEw9cVg</x:v>
      </x:c>
      <x:c r="K68" s="29" t="n">
        <x:v>322</x:v>
      </x:c>
      <x:c r="L68" s="29" t="n">
        <x:v>648</x:v>
      </x:c>
      <x:c r="M68" s="29" t="n">
        <x:v>970</x:v>
      </x:c>
      <x:c r="N68" s="31" t="n">
        <x:v>0.010686</x:v>
      </x:c>
      <x:c r="O68" s="29" t="n">
        <x:v>1194</x:v>
      </x:c>
      <x:c r="P68" s="29" t="n">
        <x:v>1</x:v>
      </x:c>
      <x:c r="Q68" s="29" t="n">
        <x:v>1</x:v>
      </x:c>
      <x:c r="R68" s="29" t="n">
        <x:v>1</x:v>
      </x:c>
      <x:c r="S68" s="29" t="n">
        <x:v>1</x:v>
      </x:c>
      <x:c r="T68" s="29" t="n">
        <x:v>0</x:v>
      </x:c>
      <x:c r="U68" s="29" t="str">
        <x:v>E</x:v>
      </x:c>
      <x:c r="V68" s="29" t="str">
        <x:v>E</x:v>
      </x:c>
      <x:c r="W68" s="29" t="str">
        <x:v>E</x:v>
      </x:c>
      <x:c r="X68" s="29" t="n">
        <x:v>1</x:v>
      </x:c>
      <x:c r="Y68" s="29" t="n">
        <x:v>1</x:v>
      </x:c>
      <x:c r="Z68" s="29" t="n">
        <x:v>0</x:v>
      </x:c>
      <x:c r="AA68" s="32" t="str">
        <x:v>Exhaustively groups and calculates all sixteen feasible paths.</x:v>
      </x:c>
    </x:row>
    <x:row r="69" ht="34" customHeight="1">
      <x:c r="A69" s="29" t="str">
        <x:v>claude_H02</x:v>
      </x:c>
      <x:c r="B69" s="30" t="n">
        <x:v>46248.05972039352</x:v>
      </x:c>
      <x:c r="C69" s="29" t="str">
        <x:v>E/H search burden</x:v>
      </x:c>
      <x:c r="D69" s="29" t="str">
        <x:v>claude</x:v>
      </x:c>
      <x:c r="E69" s="29" t="str">
        <x:v>H</x:v>
      </x:c>
      <x:c r="F69" s="29" t="n">
        <x:v>2</x:v>
      </x:c>
      <x:c r="G69" s="29" t="n">
        <x:v>200</x:v>
      </x:c>
      <x:c r="H69" s="29" t="str">
        <x:v>anthropic/claude-sonnet-4.6</x:v>
      </x:c>
      <x:c r="I69" s="29" t="str">
        <x:v>Anthropic</x:v>
      </x:c>
      <x:c r="J69" s="29" t="str">
        <x:v>gen-1786670752-bDit3aW0PpuF9CGZX6SK</x:v>
      </x:c>
      <x:c r="K69" s="29" t="n">
        <x:v>322</x:v>
      </x:c>
      <x:c r="L69" s="29" t="n">
        <x:v>597</x:v>
      </x:c>
      <x:c r="M69" s="29" t="n">
        <x:v>919</x:v>
      </x:c>
      <x:c r="N69" s="31" t="n">
        <x:v>0.009921</x:v>
      </x:c>
      <x:c r="O69" s="29" t="n">
        <x:v>1088</x:v>
      </x:c>
      <x:c r="P69" s="29" t="n">
        <x:v>1</x:v>
      </x:c>
      <x:c r="Q69" s="29" t="n">
        <x:v>1</x:v>
      </x:c>
      <x:c r="R69" s="29" t="n">
        <x:v>1</x:v>
      </x:c>
      <x:c r="S69" s="29" t="n">
        <x:v>1</x:v>
      </x:c>
      <x:c r="T69" s="29" t="n">
        <x:v>0</x:v>
      </x:c>
      <x:c r="U69" s="29" t="str">
        <x:v>E</x:v>
      </x:c>
      <x:c r="V69" s="29" t="str">
        <x:v>E</x:v>
      </x:c>
      <x:c r="W69" s="29" t="str">
        <x:v>E</x:v>
      </x:c>
      <x:c r="X69" s="29" t="n">
        <x:v>1</x:v>
      </x:c>
      <x:c r="Y69" s="29" t="n">
        <x:v>1</x:v>
      </x:c>
      <x:c r="Z69" s="29" t="n">
        <x:v>0</x:v>
      </x:c>
      <x:c r="AA69" s="32" t="str">
        <x:v>Exhaustively groups and calculates all sixteen feasible paths.</x:v>
      </x:c>
    </x:row>
    <x:row r="70" ht="34" customHeight="1">
      <x:c r="A70" s="29" t="str">
        <x:v>claude_G02</x:v>
      </x:c>
      <x:c r="B70" s="30" t="n">
        <x:v>46248.05983413194</x:v>
      </x:c>
      <x:c r="C70" s="29" t="str">
        <x:v>E/H search burden</x:v>
      </x:c>
      <x:c r="D70" s="29" t="str">
        <x:v>claude</x:v>
      </x:c>
      <x:c r="E70" s="29" t="str">
        <x:v>G</x:v>
      </x:c>
      <x:c r="F70" s="29" t="n">
        <x:v>2</x:v>
      </x:c>
      <x:c r="G70" s="29" t="n">
        <x:v>200</x:v>
      </x:c>
      <x:c r="H70" s="29" t="str">
        <x:v>anthropic/claude-sonnet-4.6</x:v>
      </x:c>
      <x:c r="I70" s="29" t="str">
        <x:v>Anthropic</x:v>
      </x:c>
      <x:c r="J70" s="29" t="str">
        <x:v>gen-1786670760-GM9jL9WtdpRDHpWBMQq3</x:v>
      </x:c>
      <x:c r="K70" s="29" t="n">
        <x:v>294</x:v>
      </x:c>
      <x:c r="L70" s="29" t="n">
        <x:v>561</x:v>
      </x:c>
      <x:c r="M70" s="29" t="n">
        <x:v>855</x:v>
      </x:c>
      <x:c r="N70" s="31" t="n">
        <x:v>0.009297</x:v>
      </x:c>
      <x:c r="O70" s="29" t="n">
        <x:v>1246</x:v>
      </x:c>
      <x:c r="P70" s="29" t="n">
        <x:v>1</x:v>
      </x:c>
      <x:c r="Q70" s="29" t="n">
        <x:v>1</x:v>
      </x:c>
      <x:c r="R70" s="29" t="n">
        <x:v>1</x:v>
      </x:c>
      <x:c r="S70" s="29" t="n">
        <x:v>1</x:v>
      </x:c>
      <x:c r="T70" s="29" t="n">
        <x:v>0</x:v>
      </x:c>
      <x:c r="U70" s="29" t="str">
        <x:v>E</x:v>
      </x:c>
      <x:c r="V70" s="29" t="str">
        <x:v>E</x:v>
      </x:c>
      <x:c r="W70" s="29" t="str">
        <x:v>E</x:v>
      </x:c>
      <x:c r="X70" s="29" t="n">
        <x:v>1</x:v>
      </x:c>
      <x:c r="Y70" s="29" t="n">
        <x:v>1</x:v>
      </x:c>
      <x:c r="Z70" s="29" t="n">
        <x:v>0</x:v>
      </x:c>
      <x:c r="AA70" s="32" t="str">
        <x:v>Systematically calculates both path-weight classes; Dijkstra appears only in the heading.</x:v>
      </x:c>
    </x:row>
    <x:row r="71" ht="34" customHeight="1">
      <x:c r="A71" s="29" t="str">
        <x:v>claude_F02</x:v>
      </x:c>
      <x:c r="B71" s="30" t="n">
        <x:v>46248.05994115741</x:v>
      </x:c>
      <x:c r="C71" s="29" t="str">
        <x:v>E/H search burden</x:v>
      </x:c>
      <x:c r="D71" s="29" t="str">
        <x:v>claude</x:v>
      </x:c>
      <x:c r="E71" s="29" t="str">
        <x:v>F</x:v>
      </x:c>
      <x:c r="F71" s="29" t="n">
        <x:v>2</x:v>
      </x:c>
      <x:c r="G71" s="29" t="n">
        <x:v>200</x:v>
      </x:c>
      <x:c r="H71" s="29" t="str">
        <x:v>anthropic/claude-sonnet-4.6</x:v>
      </x:c>
      <x:c r="I71" s="29" t="str">
        <x:v>Anthropic</x:v>
      </x:c>
      <x:c r="J71" s="29" t="str">
        <x:v>gen-1786670770-ec6cdKT8N0fKtwZxmWJb</x:v>
      </x:c>
      <x:c r="K71" s="29" t="n">
        <x:v>224</x:v>
      </x:c>
      <x:c r="L71" s="29" t="n">
        <x:v>572</x:v>
      </x:c>
      <x:c r="M71" s="29" t="n">
        <x:v>796</x:v>
      </x:c>
      <x:c r="N71" s="31" t="n">
        <x:v>0.009252</x:v>
      </x:c>
      <x:c r="O71" s="29" t="n">
        <x:v>1228</x:v>
      </x:c>
      <x:c r="P71" s="29" t="n">
        <x:v>1</x:v>
      </x:c>
      <x:c r="Q71" s="29" t="n">
        <x:v>1</x:v>
      </x:c>
      <x:c r="R71" s="29" t="n">
        <x:v>1</x:v>
      </x:c>
      <x:c r="S71" s="29" t="n">
        <x:v>1</x:v>
      </x:c>
      <x:c r="T71" s="29" t="n">
        <x:v>0</x:v>
      </x:c>
      <x:c r="U71" s="29" t="str">
        <x:v>E</x:v>
      </x:c>
      <x:c r="V71" s="29" t="str">
        <x:v>E</x:v>
      </x:c>
      <x:c r="W71" s="29" t="str">
        <x:v>E</x:v>
      </x:c>
      <x:c r="X71" s="29" t="n">
        <x:v>1</x:v>
      </x:c>
      <x:c r="Y71" s="29" t="n">
        <x:v>1</x:v>
      </x:c>
      <x:c r="Z71" s="29" t="n">
        <x:v>0</x:v>
      </x:c>
      <x:c r="AA71" s="32" t="str">
        <x:v>Exhaustively enumerates all nine feasible paths.</x:v>
      </x:c>
    </x:row>
    <x:row r="72" ht="34" customHeight="1">
      <x:c r="A72" s="29" t="str">
        <x:v>claude_E02</x:v>
      </x:c>
      <x:c r="B72" s="30" t="n">
        <x:v>46248.06006525463</x:v>
      </x:c>
      <x:c r="C72" s="29" t="str">
        <x:v>E/H search burden</x:v>
      </x:c>
      <x:c r="D72" s="29" t="str">
        <x:v>claude</x:v>
      </x:c>
      <x:c r="E72" s="29" t="str">
        <x:v>E</x:v>
      </x:c>
      <x:c r="F72" s="29" t="n">
        <x:v>2</x:v>
      </x:c>
      <x:c r="G72" s="29" t="n">
        <x:v>200</x:v>
      </x:c>
      <x:c r="H72" s="29" t="str">
        <x:v>anthropic/claude-sonnet-4.6</x:v>
      </x:c>
      <x:c r="I72" s="29" t="str">
        <x:v>Anthropic</x:v>
      </x:c>
      <x:c r="J72" s="29" t="str">
        <x:v>gen-1786670780-yCeLjjsKVtOQ64c6ROoF</x:v>
      </x:c>
      <x:c r="K72" s="29" t="n">
        <x:v>231</x:v>
      </x:c>
      <x:c r="L72" s="29" t="n">
        <x:v>727</x:v>
      </x:c>
      <x:c r="M72" s="29" t="n">
        <x:v>958</x:v>
      </x:c>
      <x:c r="N72" s="31" t="n">
        <x:v>0.011598</x:v>
      </x:c>
      <x:c r="O72" s="29" t="n">
        <x:v>1329</x:v>
      </x:c>
      <x:c r="P72" s="29" t="n">
        <x:v>1</x:v>
      </x:c>
      <x:c r="Q72" s="29" t="n">
        <x:v>1</x:v>
      </x:c>
      <x:c r="R72" s="29" t="n">
        <x:v>1</x:v>
      </x:c>
      <x:c r="S72" s="29" t="n">
        <x:v>1</x:v>
      </x:c>
      <x:c r="T72" s="29" t="n">
        <x:v>0</x:v>
      </x:c>
      <x:c r="U72" s="29" t="str">
        <x:v>D</x:v>
      </x:c>
      <x:c r="V72" s="29" t="str">
        <x:v>D+E</x:v>
      </x:c>
      <x:c r="W72" s="29" t="str">
        <x:v>D→E</x:v>
      </x:c>
      <x:c r="X72" s="29" t="n">
        <x:v>1</x:v>
      </x:c>
      <x:c r="Y72" s="29" t="n">
        <x:v>1</x:v>
      </x:c>
      <x:c r="Z72" s="29" t="n">
        <x:v>0</x:v>
      </x:c>
      <x:c r="AA72" s="32" t="str">
        <x:v>Computes shortest distances, then enumerates all paths attaining the minimum.</x:v>
      </x:c>
    </x:row>
    <x:row r="73" ht="34" customHeight="1">
      <x:c r="A73" s="29" t="str">
        <x:v>claude_F03</x:v>
      </x:c>
      <x:c r="B73" s="30" t="n">
        <x:v>46248.060188877316</x:v>
      </x:c>
      <x:c r="C73" s="29" t="str">
        <x:v>E/H search burden</x:v>
      </x:c>
      <x:c r="D73" s="29" t="str">
        <x:v>claude</x:v>
      </x:c>
      <x:c r="E73" s="29" t="str">
        <x:v>F</x:v>
      </x:c>
      <x:c r="F73" s="29" t="n">
        <x:v>3</x:v>
      </x:c>
      <x:c r="G73" s="29" t="n">
        <x:v>200</x:v>
      </x:c>
      <x:c r="H73" s="29" t="str">
        <x:v>anthropic/claude-sonnet-4.6</x:v>
      </x:c>
      <x:c r="I73" s="29" t="str">
        <x:v>Anthropic</x:v>
      </x:c>
      <x:c r="J73" s="29" t="str">
        <x:v>gen-1786670790-JrYWtUqI2PSUMXlXVhkH</x:v>
      </x:c>
      <x:c r="K73" s="29" t="n">
        <x:v>224</x:v>
      </x:c>
      <x:c r="L73" s="29" t="n">
        <x:v>613</x:v>
      </x:c>
      <x:c r="M73" s="29" t="n">
        <x:v>837</x:v>
      </x:c>
      <x:c r="N73" s="31" t="n">
        <x:v>0.009867</x:v>
      </x:c>
      <x:c r="O73" s="29" t="n">
        <x:v>1344</x:v>
      </x:c>
      <x:c r="P73" s="29" t="n">
        <x:v>1</x:v>
      </x:c>
      <x:c r="Q73" s="29" t="n">
        <x:v>1</x:v>
      </x:c>
      <x:c r="R73" s="29" t="n">
        <x:v>1</x:v>
      </x:c>
      <x:c r="S73" s="29" t="n">
        <x:v>1</x:v>
      </x:c>
      <x:c r="T73" s="29" t="n">
        <x:v>0</x:v>
      </x:c>
      <x:c r="U73" s="29" t="str">
        <x:v>E</x:v>
      </x:c>
      <x:c r="V73" s="29" t="str">
        <x:v>E</x:v>
      </x:c>
      <x:c r="W73" s="29" t="str">
        <x:v>E</x:v>
      </x:c>
      <x:c r="X73" s="29" t="n">
        <x:v>1</x:v>
      </x:c>
      <x:c r="Y73" s="29" t="n">
        <x:v>1</x:v>
      </x:c>
      <x:c r="Z73" s="29" t="n">
        <x:v>0</x:v>
      </x:c>
      <x:c r="AA73" s="32" t="str">
        <x:v>Exhaustively enumerates all nine feasible paths.</x:v>
      </x:c>
    </x:row>
    <x:row r="74" ht="34" customHeight="1">
      <x:c r="A74" s="29" t="str">
        <x:v>claude_H03</x:v>
      </x:c>
      <x:c r="B74" s="30" t="n">
        <x:v>46248.0602999537</x:v>
      </x:c>
      <x:c r="C74" s="29" t="str">
        <x:v>E/H search burden</x:v>
      </x:c>
      <x:c r="D74" s="29" t="str">
        <x:v>claude</x:v>
      </x:c>
      <x:c r="E74" s="29" t="str">
        <x:v>H</x:v>
      </x:c>
      <x:c r="F74" s="29" t="n">
        <x:v>3</x:v>
      </x:c>
      <x:c r="G74" s="29" t="n">
        <x:v>200</x:v>
      </x:c>
      <x:c r="H74" s="29" t="str">
        <x:v>anthropic/claude-sonnet-4.6</x:v>
      </x:c>
      <x:c r="I74" s="29" t="str">
        <x:v>Anthropic</x:v>
      </x:c>
      <x:c r="J74" s="29" t="str">
        <x:v>gen-1786670801-IXcrK6bKRbNun7uBJirn</x:v>
      </x:c>
      <x:c r="K74" s="29" t="n">
        <x:v>322</x:v>
      </x:c>
      <x:c r="L74" s="29" t="n">
        <x:v>650</x:v>
      </x:c>
      <x:c r="M74" s="29" t="n">
        <x:v>972</x:v>
      </x:c>
      <x:c r="N74" s="31" t="n">
        <x:v>0.010716</x:v>
      </x:c>
      <x:c r="O74" s="29" t="n">
        <x:v>1215</x:v>
      </x:c>
      <x:c r="P74" s="29" t="n">
        <x:v>1</x:v>
      </x:c>
      <x:c r="Q74" s="29" t="n">
        <x:v>1</x:v>
      </x:c>
      <x:c r="R74" s="29" t="n">
        <x:v>1</x:v>
      </x:c>
      <x:c r="S74" s="29" t="n">
        <x:v>1</x:v>
      </x:c>
      <x:c r="T74" s="29" t="n">
        <x:v>0</x:v>
      </x:c>
      <x:c r="U74" s="29" t="str">
        <x:v>E</x:v>
      </x:c>
      <x:c r="V74" s="29" t="str">
        <x:v>E</x:v>
      </x:c>
      <x:c r="W74" s="29" t="str">
        <x:v>E</x:v>
      </x:c>
      <x:c r="X74" s="29" t="n">
        <x:v>1</x:v>
      </x:c>
      <x:c r="Y74" s="29" t="n">
        <x:v>1</x:v>
      </x:c>
      <x:c r="Z74" s="29" t="n">
        <x:v>0</x:v>
      </x:c>
      <x:c r="AA74" s="32" t="str">
        <x:v>Exhaustively groups and calculates all sixteen feasible paths.</x:v>
      </x:c>
    </x:row>
    <x:row r="75" ht="34" customHeight="1">
      <x:c r="A75" s="29" t="str">
        <x:v>claude_E03</x:v>
      </x:c>
      <x:c r="B75" s="30" t="n">
        <x:v>46248.06045118056</x:v>
      </x:c>
      <x:c r="C75" s="29" t="str">
        <x:v>E/H search burden</x:v>
      </x:c>
      <x:c r="D75" s="29" t="str">
        <x:v>claude</x:v>
      </x:c>
      <x:c r="E75" s="29" t="str">
        <x:v>E</x:v>
      </x:c>
      <x:c r="F75" s="29" t="n">
        <x:v>3</x:v>
      </x:c>
      <x:c r="G75" s="29" t="n">
        <x:v>200</x:v>
      </x:c>
      <x:c r="H75" s="29" t="str">
        <x:v>anthropic/claude-sonnet-4.6</x:v>
      </x:c>
      <x:c r="I75" s="29" t="str">
        <x:v>Anthropic</x:v>
      </x:c>
      <x:c r="J75" s="29" t="str">
        <x:v>gen-1786670811-ctXAuWH3gEWF1ZUiUtOF</x:v>
      </x:c>
      <x:c r="K75" s="29" t="n">
        <x:v>231</x:v>
      </x:c>
      <x:c r="L75" s="29" t="n">
        <x:v>891</x:v>
      </x:c>
      <x:c r="M75" s="29" t="n">
        <x:v>1122</x:v>
      </x:c>
      <x:c r="N75" s="31" t="n">
        <x:v>0.014058</x:v>
      </x:c>
      <x:c r="O75" s="29" t="n">
        <x:v>1622</x:v>
      </x:c>
      <x:c r="P75" s="29" t="n">
        <x:v>1</x:v>
      </x:c>
      <x:c r="Q75" s="29" t="n">
        <x:v>1</x:v>
      </x:c>
      <x:c r="R75" s="29" t="n">
        <x:v>1</x:v>
      </x:c>
      <x:c r="S75" s="29" t="n">
        <x:v>1</x:v>
      </x:c>
      <x:c r="T75" s="29" t="n">
        <x:v>0</x:v>
      </x:c>
      <x:c r="U75" s="29" t="str">
        <x:v>D</x:v>
      </x:c>
      <x:c r="V75" s="29" t="str">
        <x:v>D+E</x:v>
      </x:c>
      <x:c r="W75" s="29" t="str">
        <x:v>D→E</x:v>
      </x:c>
      <x:c r="X75" s="29" t="n">
        <x:v>1</x:v>
      </x:c>
      <x:c r="Y75" s="29" t="n">
        <x:v>1</x:v>
      </x:c>
      <x:c r="Z75" s="29" t="n">
        <x:v>0</x:v>
      </x:c>
      <x:c r="AA75" s="32" t="str">
        <x:v>Computes distances and the optimal subgraph, then enumerates all four attaining paths.</x:v>
      </x:c>
    </x:row>
    <x:row r="76" ht="34" customHeight="1">
      <x:c r="A76" s="29" t="str">
        <x:v>claude_G03</x:v>
      </x:c>
      <x:c r="B76" s="30" t="n">
        <x:v>46248.060556157405</x:v>
      </x:c>
      <x:c r="C76" s="29" t="str">
        <x:v>E/H search burden</x:v>
      </x:c>
      <x:c r="D76" s="29" t="str">
        <x:v>claude</x:v>
      </x:c>
      <x:c r="E76" s="29" t="str">
        <x:v>G</x:v>
      </x:c>
      <x:c r="F76" s="29" t="n">
        <x:v>3</x:v>
      </x:c>
      <x:c r="G76" s="29" t="n">
        <x:v>200</x:v>
      </x:c>
      <x:c r="H76" s="29" t="str">
        <x:v>anthropic/claude-sonnet-4.6</x:v>
      </x:c>
      <x:c r="I76" s="29" t="str">
        <x:v>Anthropic</x:v>
      </x:c>
      <x:c r="J76" s="29" t="str">
        <x:v>gen-1786670824-AemzDQDNI7nEUGSXST6T</x:v>
      </x:c>
      <x:c r="K76" s="29" t="n">
        <x:v>294</x:v>
      </x:c>
      <x:c r="L76" s="29" t="n">
        <x:v>541</x:v>
      </x:c>
      <x:c r="M76" s="29" t="n">
        <x:v>835</x:v>
      </x:c>
      <x:c r="N76" s="31" t="n">
        <x:v>0.008997</x:v>
      </x:c>
      <x:c r="O76" s="29" t="n">
        <x:v>1126</x:v>
      </x:c>
      <x:c r="P76" s="29" t="n">
        <x:v>1</x:v>
      </x:c>
      <x:c r="Q76" s="29" t="n">
        <x:v>1</x:v>
      </x:c>
      <x:c r="R76" s="29" t="n">
        <x:v>1</x:v>
      </x:c>
      <x:c r="S76" s="29" t="n">
        <x:v>1</x:v>
      </x:c>
      <x:c r="T76" s="29" t="n">
        <x:v>0</x:v>
      </x:c>
      <x:c r="U76" s="29" t="str">
        <x:v>E</x:v>
      </x:c>
      <x:c r="V76" s="29" t="str">
        <x:v>E</x:v>
      </x:c>
      <x:c r="W76" s="29" t="str">
        <x:v>E</x:v>
      </x:c>
      <x:c r="X76" s="29" t="n">
        <x:v>1</x:v>
      </x:c>
      <x:c r="Y76" s="29" t="n">
        <x:v>1</x:v>
      </x:c>
      <x:c r="Z76" s="29" t="n">
        <x:v>0</x:v>
      </x:c>
      <x:c r="AA76" s="32" t="str">
        <x:v>Systematically calculates the two route classes and enumerates all eight minima.</x:v>
      </x:c>
    </x:row>
    <x:row r="77" ht="34" customHeight="1">
      <x:c r="A77" s="29" t="str">
        <x:v>mistral_E01</x:v>
      </x:c>
      <x:c r="B77" s="30" t="n">
        <x:v>46248.06083659722</x:v>
      </x:c>
      <x:c r="C77" s="29" t="str">
        <x:v>E/H search burden</x:v>
      </x:c>
      <x:c r="D77" s="29" t="str">
        <x:v>mistral</x:v>
      </x:c>
      <x:c r="E77" s="29" t="str">
        <x:v>E</x:v>
      </x:c>
      <x:c r="F77" s="29" t="n">
        <x:v>1</x:v>
      </x:c>
      <x:c r="G77" s="29" t="n">
        <x:v>200</x:v>
      </x:c>
      <x:c r="H77" s="29" t="str">
        <x:v>mistralai/mistral-large-2512</x:v>
      </x:c>
      <x:c r="I77" s="29" t="str">
        <x:v>Mistral</x:v>
      </x:c>
      <x:c r="J77" s="29" t="str">
        <x:v>gen-1786670833-aOk4XM6YebbqlFPsWq2m</x:v>
      </x:c>
      <x:c r="K77" s="29" t="n">
        <x:v>218</x:v>
      </x:c>
      <x:c r="L77" s="29" t="n">
        <x:v>2007</x:v>
      </x:c>
      <x:c r="M77" s="29" t="n">
        <x:v>2225</x:v>
      </x:c>
      <x:c r="N77" s="31" t="n">
        <x:v>0.0031195</x:v>
      </x:c>
      <x:c r="O77" s="29" t="n">
        <x:v>5541</x:v>
      </x:c>
      <x:c r="P77" s="29" t="n">
        <x:v>1</x:v>
      </x:c>
      <x:c r="Q77" s="29" t="n">
        <x:v>1</x:v>
      </x:c>
      <x:c r="R77" s="29" t="n">
        <x:v>1</x:v>
      </x:c>
      <x:c r="S77" s="29" t="n">
        <x:v>1</x:v>
      </x:c>
      <x:c r="T77" s="29" t="n">
        <x:v>0</x:v>
      </x:c>
      <x:c r="U77" s="29" t="str">
        <x:v>E</x:v>
      </x:c>
      <x:c r="V77" s="29" t="str">
        <x:v>E</x:v>
      </x:c>
      <x:c r="W77" s="29" t="str">
        <x:v>E</x:v>
      </x:c>
      <x:c r="X77" s="29" t="n">
        <x:v>1</x:v>
      </x:c>
      <x:c r="Y77" s="29" t="n">
        <x:v>1</x:v>
      </x:c>
      <x:c r="Z77" s="29" t="n">
        <x:v>0</x:v>
      </x:c>
      <x:c r="AA77" s="32" t="str">
        <x:v>Explicit exhaustive enumeration of all ten feasible paths.</x:v>
      </x:c>
    </x:row>
    <x:row r="78" ht="34" customHeight="1">
      <x:c r="A78" s="29" t="str">
        <x:v>mistral_F01</x:v>
      </x:c>
      <x:c r="B78" s="30" t="n">
        <x:v>46248.06123212963</x:v>
      </x:c>
      <x:c r="C78" s="29" t="str">
        <x:v>E/H search burden</x:v>
      </x:c>
      <x:c r="D78" s="29" t="str">
        <x:v>mistral</x:v>
      </x:c>
      <x:c r="E78" s="29" t="str">
        <x:v>F</x:v>
      </x:c>
      <x:c r="F78" s="29" t="n">
        <x:v>1</x:v>
      </x:c>
      <x:c r="G78" s="29" t="n">
        <x:v>200</x:v>
      </x:c>
      <x:c r="H78" s="29" t="str">
        <x:v>mistralai/mistral-large-2512</x:v>
      </x:c>
      <x:c r="I78" s="29" t="str">
        <x:v>Mistral</x:v>
      </x:c>
      <x:c r="J78" s="29" t="str">
        <x:v>gen-1786670857-tBQzgsgSALYggW2RkPVv</x:v>
      </x:c>
      <x:c r="K78" s="29" t="n">
        <x:v>211</x:v>
      </x:c>
      <x:c r="L78" s="29" t="n">
        <x:v>2938</x:v>
      </x:c>
      <x:c r="M78" s="29" t="n">
        <x:v>3149</x:v>
      </x:c>
      <x:c r="N78" s="31" t="n">
        <x:v>0.0045125</x:v>
      </x:c>
      <x:c r="O78" s="29" t="n">
        <x:v>8415</x:v>
      </x:c>
      <x:c r="P78" s="29" t="n">
        <x:v>1</x:v>
      </x:c>
      <x:c r="Q78" s="29" t="n">
        <x:v>1</x:v>
      </x:c>
      <x:c r="R78" s="29" t="n">
        <x:v>1</x:v>
      </x:c>
      <x:c r="S78" s="29" t="n">
        <x:v>1</x:v>
      </x:c>
      <x:c r="T78" s="29" t="n">
        <x:v>0</x:v>
      </x:c>
      <x:c r="U78" s="29" t="str">
        <x:v>D</x:v>
      </x:c>
      <x:c r="V78" s="29" t="str">
        <x:v>D+E</x:v>
      </x:c>
      <x:c r="W78" s="29" t="str">
        <x:v>D→E</x:v>
      </x:c>
      <x:c r="X78" s="29" t="n">
        <x:v>1</x:v>
      </x:c>
      <x:c r="Y78" s="29" t="n">
        <x:v>1</x:v>
      </x:c>
      <x:c r="Z78" s="29" t="n">
        <x:v>0</x:v>
      </x:c>
      <x:c r="AA78" s="32" t="str">
        <x:v>Full priority-queue Dijkstra trace followed by explicit checks of every remaining route.</x:v>
      </x:c>
    </x:row>
    <x:row r="79" ht="34" customHeight="1">
      <x:c r="A79" s="29" t="str">
        <x:v>mistral_G01</x:v>
      </x:c>
      <x:c r="B79" s="30" t="n">
        <x:v>46248.061489768515</x:v>
      </x:c>
      <x:c r="C79" s="29" t="str">
        <x:v>E/H search burden</x:v>
      </x:c>
      <x:c r="D79" s="29" t="str">
        <x:v>mistral</x:v>
      </x:c>
      <x:c r="E79" s="29" t="str">
        <x:v>G</x:v>
      </x:c>
      <x:c r="F79" s="29" t="n">
        <x:v>1</x:v>
      </x:c>
      <x:c r="G79" s="29" t="n">
        <x:v>200</x:v>
      </x:c>
      <x:c r="H79" s="29" t="str">
        <x:v>mistralai/mistral-large-2512</x:v>
      </x:c>
      <x:c r="I79" s="29" t="str">
        <x:v>Mistral</x:v>
      </x:c>
      <x:c r="J79" s="29" t="str">
        <x:v>gen-1786670891-6hjBDlSDeeRMKHZojcrx</x:v>
      </x:c>
      <x:c r="K79" s="29" t="n">
        <x:v>281</x:v>
      </x:c>
      <x:c r="L79" s="29" t="n">
        <x:v>1887</x:v>
      </x:c>
      <x:c r="M79" s="29" t="n">
        <x:v>2168</x:v>
      </x:c>
      <x:c r="N79" s="31" t="n">
        <x:v>0.002971</x:v>
      </x:c>
      <x:c r="O79" s="29" t="n">
        <x:v>4776</x:v>
      </x:c>
      <x:c r="P79" s="29" t="n">
        <x:v>1</x:v>
      </x:c>
      <x:c r="Q79" s="29" t="n">
        <x:v>1</x:v>
      </x:c>
      <x:c r="R79" s="29" t="n">
        <x:v>1</x:v>
      </x:c>
      <x:c r="S79" s="29" t="n">
        <x:v>1</x:v>
      </x:c>
      <x:c r="T79" s="29" t="n">
        <x:v>0</x:v>
      </x:c>
      <x:c r="U79" s="29" t="str">
        <x:v>E</x:v>
      </x:c>
      <x:c r="V79" s="29" t="str">
        <x:v>E</x:v>
      </x:c>
      <x:c r="W79" s="29" t="str">
        <x:v>E</x:v>
      </x:c>
      <x:c r="X79" s="29" t="n">
        <x:v>1</x:v>
      </x:c>
      <x:c r="Y79" s="29" t="n">
        <x:v>1</x:v>
      </x:c>
      <x:c r="Z79" s="29" t="n">
        <x:v>0</x:v>
      </x:c>
      <x:c r="AA79" s="32" t="str">
        <x:v>Explicit exhaustive enumeration of all sixteen feasible paths.</x:v>
      </x:c>
    </x:row>
    <x:row r="80" ht="34" customHeight="1">
      <x:c r="A80" s="29" t="str">
        <x:v>mistral_H01</x:v>
      </x:c>
      <x:c r="B80" s="30" t="n">
        <x:v>46248.06180988426</x:v>
      </x:c>
      <x:c r="C80" s="29" t="str">
        <x:v>E/H search burden</x:v>
      </x:c>
      <x:c r="D80" s="29" t="str">
        <x:v>mistral</x:v>
      </x:c>
      <x:c r="E80" s="29" t="str">
        <x:v>H</x:v>
      </x:c>
      <x:c r="F80" s="29" t="n">
        <x:v>1</x:v>
      </x:c>
      <x:c r="G80" s="29" t="n">
        <x:v>200</x:v>
      </x:c>
      <x:c r="H80" s="29" t="str">
        <x:v>mistralai/mistral-large-2512</x:v>
      </x:c>
      <x:c r="I80" s="29" t="str">
        <x:v>Mistral</x:v>
      </x:c>
      <x:c r="J80" s="29" t="str">
        <x:v>gen-1786670913-C5FAq2E054NFiaYqlOL8</x:v>
      </x:c>
      <x:c r="K80" s="29" t="n">
        <x:v>309</x:v>
      </x:c>
      <x:c r="L80" s="29" t="n">
        <x:v>2332</x:v>
      </x:c>
      <x:c r="M80" s="29" t="n">
        <x:v>2641</x:v>
      </x:c>
      <x:c r="N80" s="31" t="n">
        <x:v>0.0036381</x:v>
      </x:c>
      <x:c r="O80" s="29" t="n">
        <x:v>6107</x:v>
      </x:c>
      <x:c r="P80" s="29" t="n">
        <x:v>1</x:v>
      </x:c>
      <x:c r="Q80" s="29" t="n">
        <x:v>1</x:v>
      </x:c>
      <x:c r="R80" s="29" t="n">
        <x:v>1</x:v>
      </x:c>
      <x:c r="S80" s="29" t="n">
        <x:v>1</x:v>
      </x:c>
      <x:c r="T80" s="29" t="n">
        <x:v>0</x:v>
      </x:c>
      <x:c r="U80" s="29" t="str">
        <x:v>E</x:v>
      </x:c>
      <x:c r="V80" s="29" t="str">
        <x:v>E</x:v>
      </x:c>
      <x:c r="W80" s="29" t="str">
        <x:v>E</x:v>
      </x:c>
      <x:c r="X80" s="29" t="n">
        <x:v>1</x:v>
      </x:c>
      <x:c r="Y80" s="29" t="n">
        <x:v>1</x:v>
      </x:c>
      <x:c r="Z80" s="29" t="n">
        <x:v>0</x:v>
      </x:c>
      <x:c r="AA80" s="32" t="str">
        <x:v>Systematically groups and checks all sixteen feasible paths.</x:v>
      </x:c>
    </x:row>
    <x:row r="81" ht="34" customHeight="1">
      <x:c r="A81" s="29" t="str">
        <x:v>mistral_H02</x:v>
      </x:c>
      <x:c r="B81" s="30" t="n">
        <x:v>46248.06213528935</x:v>
      </x:c>
      <x:c r="C81" s="29" t="str">
        <x:v>E/H search burden</x:v>
      </x:c>
      <x:c r="D81" s="29" t="str">
        <x:v>mistral</x:v>
      </x:c>
      <x:c r="E81" s="29" t="str">
        <x:v>H</x:v>
      </x:c>
      <x:c r="F81" s="29" t="n">
        <x:v>2</x:v>
      </x:c>
      <x:c r="G81" s="29" t="n">
        <x:v>200</x:v>
      </x:c>
      <x:c r="H81" s="29" t="str">
        <x:v>mistralai/mistral-large-2512</x:v>
      </x:c>
      <x:c r="I81" s="29" t="str">
        <x:v>Mistral</x:v>
      </x:c>
      <x:c r="J81" s="29" t="str">
        <x:v>gen-1786670941-sHLCR57iFVyhWDUUfVSb</x:v>
      </x:c>
      <x:c r="K81" s="29" t="n">
        <x:v>309</x:v>
      </x:c>
      <x:c r="L81" s="29" t="n">
        <x:v>2350</x:v>
      </x:c>
      <x:c r="M81" s="29" t="n">
        <x:v>2659</x:v>
      </x:c>
      <x:c r="N81" s="31" t="n">
        <x:v>0.0035499</x:v>
      </x:c>
      <x:c r="O81" s="29" t="n">
        <x:v>6462</x:v>
      </x:c>
      <x:c r="P81" s="29" t="n">
        <x:v>1</x:v>
      </x:c>
      <x:c r="Q81" s="29" t="n">
        <x:v>1</x:v>
      </x:c>
      <x:c r="R81" s="29" t="n">
        <x:v>1</x:v>
      </x:c>
      <x:c r="S81" s="29" t="n">
        <x:v>1</x:v>
      </x:c>
      <x:c r="T81" s="29" t="n">
        <x:v>0</x:v>
      </x:c>
      <x:c r="U81" s="29" t="str">
        <x:v>E</x:v>
      </x:c>
      <x:c r="V81" s="29" t="str">
        <x:v>E</x:v>
      </x:c>
      <x:c r="W81" s="29" t="str">
        <x:v>E</x:v>
      </x:c>
      <x:c r="X81" s="29" t="n">
        <x:v>1</x:v>
      </x:c>
      <x:c r="Y81" s="29" t="n">
        <x:v>1</x:v>
      </x:c>
      <x:c r="Z81" s="29" t="n">
        <x:v>0</x:v>
      </x:c>
      <x:c r="AA81" s="32" t="str">
        <x:v>Explicit exhaustive enumeration of all sixteen feasible paths.</x:v>
      </x:c>
    </x:row>
    <x:row r="82" ht="34" customHeight="1">
      <x:c r="A82" s="29" t="str">
        <x:v>mistral_G02</x:v>
      </x:c>
      <x:c r="B82" s="30" t="n">
        <x:v>46248.06241597222</x:v>
      </x:c>
      <x:c r="C82" s="29" t="str">
        <x:v>E/H search burden</x:v>
      </x:c>
      <x:c r="D82" s="29" t="str">
        <x:v>mistral</x:v>
      </x:c>
      <x:c r="E82" s="29" t="str">
        <x:v>G</x:v>
      </x:c>
      <x:c r="F82" s="29" t="n">
        <x:v>2</x:v>
      </x:c>
      <x:c r="G82" s="29" t="n">
        <x:v>200</x:v>
      </x:c>
      <x:c r="H82" s="29" t="str">
        <x:v>mistralai/mistral-large-2512</x:v>
      </x:c>
      <x:c r="I82" s="29" t="str">
        <x:v>Mistral</x:v>
      </x:c>
      <x:c r="J82" s="29" t="str">
        <x:v>gen-1786670969-XiUAtVROII9mty96syiJ</x:v>
      </x:c>
      <x:c r="K82" s="29" t="n">
        <x:v>281</x:v>
      </x:c>
      <x:c r="L82" s="29" t="n">
        <x:v>1959</x:v>
      </x:c>
      <x:c r="M82" s="29" t="n">
        <x:v>2240</x:v>
      </x:c>
      <x:c r="N82" s="31" t="n">
        <x:v>0.003079</x:v>
      </x:c>
      <x:c r="O82" s="29" t="n">
        <x:v>5247</x:v>
      </x:c>
      <x:c r="P82" s="29" t="n">
        <x:v>1</x:v>
      </x:c>
      <x:c r="Q82" s="29" t="n">
        <x:v>1</x:v>
      </x:c>
      <x:c r="R82" s="29" t="n">
        <x:v>1</x:v>
      </x:c>
      <x:c r="S82" s="29" t="n">
        <x:v>1</x:v>
      </x:c>
      <x:c r="T82" s="29" t="n">
        <x:v>0</x:v>
      </x:c>
      <x:c r="U82" s="29" t="str">
        <x:v>E</x:v>
      </x:c>
      <x:c r="V82" s="29" t="str">
        <x:v>E</x:v>
      </x:c>
      <x:c r="W82" s="29" t="str">
        <x:v>E</x:v>
      </x:c>
      <x:c r="X82" s="29" t="n">
        <x:v>1</x:v>
      </x:c>
      <x:c r="Y82" s="29" t="n">
        <x:v>1</x:v>
      </x:c>
      <x:c r="Z82" s="29" t="n">
        <x:v>0</x:v>
      </x:c>
      <x:c r="AA82" s="32" t="str">
        <x:v>Systematically calculates all route classes and verifies completeness.</x:v>
      </x:c>
    </x:row>
    <x:row r="83" ht="34" customHeight="1">
      <x:c r="A83" s="29" t="str">
        <x:v>mistral_F02</x:v>
      </x:c>
      <x:c r="B83" s="30" t="n">
        <x:v>46248.06270047454</x:v>
      </x:c>
      <x:c r="C83" s="29" t="str">
        <x:v>E/H search burden</x:v>
      </x:c>
      <x:c r="D83" s="29" t="str">
        <x:v>mistral</x:v>
      </x:c>
      <x:c r="E83" s="29" t="str">
        <x:v>F</x:v>
      </x:c>
      <x:c r="F83" s="29" t="n">
        <x:v>2</x:v>
      </x:c>
      <x:c r="G83" s="29" t="n">
        <x:v>200</x:v>
      </x:c>
      <x:c r="H83" s="29" t="str">
        <x:v>mistralai/mistral-large-2512</x:v>
      </x:c>
      <x:c r="I83" s="29" t="str">
        <x:v>Mistral</x:v>
      </x:c>
      <x:c r="J83" s="29" t="str">
        <x:v>gen-1786670993-KG31D7raqtsGesQcQqfa</x:v>
      </x:c>
      <x:c r="K83" s="29" t="n">
        <x:v>211</x:v>
      </x:c>
      <x:c r="L83" s="29" t="n">
        <x:v>2027</x:v>
      </x:c>
      <x:c r="M83" s="29" t="n">
        <x:v>2238</x:v>
      </x:c>
      <x:c r="N83" s="31" t="n">
        <x:v>0.0031316</x:v>
      </x:c>
      <x:c r="O83" s="29" t="n">
        <x:v>5806</x:v>
      </x:c>
      <x:c r="P83" s="29" t="n">
        <x:v>1</x:v>
      </x:c>
      <x:c r="Q83" s="29" t="n">
        <x:v>1</x:v>
      </x:c>
      <x:c r="R83" s="29" t="n">
        <x:v>1</x:v>
      </x:c>
      <x:c r="S83" s="29" t="n">
        <x:v>1</x:v>
      </x:c>
      <x:c r="T83" s="29" t="n">
        <x:v>0</x:v>
      </x:c>
      <x:c r="U83" s="29" t="str">
        <x:v>D</x:v>
      </x:c>
      <x:c r="V83" s="29" t="str">
        <x:v>D+E</x:v>
      </x:c>
      <x:c r="W83" s="29" t="str">
        <x:v>D→E</x:v>
      </x:c>
      <x:c r="X83" s="29" t="n">
        <x:v>1</x:v>
      </x:c>
      <x:c r="Y83" s="29" t="n">
        <x:v>1</x:v>
      </x:c>
      <x:c r="Z83" s="29" t="n">
        <x:v>0</x:v>
      </x:c>
      <x:c r="AA83" s="32" t="str">
        <x:v>Performs distance-style node processing, then explicitly checks all candidate paths.</x:v>
      </x:c>
    </x:row>
    <x:row r="84" ht="34" customHeight="1">
      <x:c r="A84" s="29" t="str">
        <x:v>mistral_E02</x:v>
      </x:c>
      <x:c r="B84" s="30" t="n">
        <x:v>46248.06297121528</x:v>
      </x:c>
      <x:c r="C84" s="29" t="str">
        <x:v>E/H search burden</x:v>
      </x:c>
      <x:c r="D84" s="29" t="str">
        <x:v>mistral</x:v>
      </x:c>
      <x:c r="E84" s="29" t="str">
        <x:v>E</x:v>
      </x:c>
      <x:c r="F84" s="29" t="n">
        <x:v>2</x:v>
      </x:c>
      <x:c r="G84" s="29" t="n">
        <x:v>200</x:v>
      </x:c>
      <x:c r="H84" s="29" t="str">
        <x:v>mistralai/mistral-large-2512</x:v>
      </x:c>
      <x:c r="I84" s="29" t="str">
        <x:v>Mistral</x:v>
      </x:c>
      <x:c r="J84" s="29" t="str">
        <x:v>gen-1786671018-PlgCYTyXx7yxlpLMVwBu</x:v>
      </x:c>
      <x:c r="K84" s="29" t="n">
        <x:v>218</x:v>
      </x:c>
      <x:c r="L84" s="29" t="n">
        <x:v>1780</x:v>
      </x:c>
      <x:c r="M84" s="29" t="n">
        <x:v>1998</x:v>
      </x:c>
      <x:c r="N84" s="31" t="n">
        <x:v>0.0027718</x:v>
      </x:c>
      <x:c r="O84" s="29" t="n">
        <x:v>4991</x:v>
      </x:c>
      <x:c r="P84" s="29" t="n">
        <x:v>1</x:v>
      </x:c>
      <x:c r="Q84" s="29" t="n">
        <x:v>1</x:v>
      </x:c>
      <x:c r="R84" s="29" t="n">
        <x:v>1</x:v>
      </x:c>
      <x:c r="S84" s="29" t="n">
        <x:v>1</x:v>
      </x:c>
      <x:c r="T84" s="29" t="n">
        <x:v>0</x:v>
      </x:c>
      <x:c r="U84" s="29" t="str">
        <x:v>E</x:v>
      </x:c>
      <x:c r="V84" s="29" t="str">
        <x:v>E</x:v>
      </x:c>
      <x:c r="W84" s="29" t="str">
        <x:v>E</x:v>
      </x:c>
      <x:c r="X84" s="29" t="n">
        <x:v>1</x:v>
      </x:c>
      <x:c r="Y84" s="29" t="n">
        <x:v>1</x:v>
      </x:c>
      <x:c r="Z84" s="29" t="n">
        <x:v>0</x:v>
      </x:c>
      <x:c r="AA84" s="32" t="str">
        <x:v>Level-by-level exhaustive calculation; Dijkstra is mentioned but not materially executed.</x:v>
      </x:c>
    </x:row>
    <x:row r="85" ht="34" customHeight="1">
      <x:c r="A85" s="29" t="str">
        <x:v>mistral_F03</x:v>
      </x:c>
      <x:c r="B85" s="30" t="n">
        <x:v>46248.063179108794</x:v>
      </x:c>
      <x:c r="C85" s="29" t="str">
        <x:v>E/H search burden</x:v>
      </x:c>
      <x:c r="D85" s="29" t="str">
        <x:v>mistral</x:v>
      </x:c>
      <x:c r="E85" s="29" t="str">
        <x:v>F</x:v>
      </x:c>
      <x:c r="F85" s="29" t="n">
        <x:v>3</x:v>
      </x:c>
      <x:c r="G85" s="29" t="n">
        <x:v>200</x:v>
      </x:c>
      <x:c r="H85" s="29" t="str">
        <x:v>mistralai/mistral-large-2512</x:v>
      </x:c>
      <x:c r="I85" s="29" t="str">
        <x:v>Mistral</x:v>
      </x:c>
      <x:c r="J85" s="29" t="str">
        <x:v>gen-1786671041-lzy1SZ47k0r5HYzeLHJp</x:v>
      </x:c>
      <x:c r="K85" s="29" t="n">
        <x:v>211</x:v>
      </x:c>
      <x:c r="L85" s="29" t="n">
        <x:v>1486</x:v>
      </x:c>
      <x:c r="M85" s="29" t="n">
        <x:v>1697</x:v>
      </x:c>
      <x:c r="N85" s="31" t="n">
        <x:v>0.0022481</x:v>
      </x:c>
      <x:c r="O85" s="29" t="n">
        <x:v>4043</x:v>
      </x:c>
      <x:c r="P85" s="29" t="n">
        <x:v>1</x:v>
      </x:c>
      <x:c r="Q85" s="29" t="n">
        <x:v>1</x:v>
      </x:c>
      <x:c r="R85" s="29" t="n">
        <x:v>1</x:v>
      </x:c>
      <x:c r="S85" s="29" t="n">
        <x:v>1</x:v>
      </x:c>
      <x:c r="T85" s="29" t="n">
        <x:v>0</x:v>
      </x:c>
      <x:c r="U85" s="29" t="str">
        <x:v>E</x:v>
      </x:c>
      <x:c r="V85" s="29" t="str">
        <x:v>E</x:v>
      </x:c>
      <x:c r="W85" s="29" t="str">
        <x:v>E</x:v>
      </x:c>
      <x:c r="X85" s="29" t="n">
        <x:v>1</x:v>
      </x:c>
      <x:c r="Y85" s="29" t="n">
        <x:v>1</x:v>
      </x:c>
      <x:c r="Z85" s="29" t="n">
        <x:v>0</x:v>
      </x:c>
      <x:c r="AA85" s="32" t="str">
        <x:v>Explicit exhaustive enumeration of all nine feasible paths.</x:v>
      </x:c>
    </x:row>
    <x:row r="86" ht="34" customHeight="1">
      <x:c r="A86" s="29" t="str">
        <x:v>mistral_H03</x:v>
      </x:c>
      <x:c r="B86" s="30" t="n">
        <x:v>46248.06348246528</x:v>
      </x:c>
      <x:c r="C86" s="29" t="str">
        <x:v>E/H search burden</x:v>
      </x:c>
      <x:c r="D86" s="29" t="str">
        <x:v>mistral</x:v>
      </x:c>
      <x:c r="E86" s="29" t="str">
        <x:v>H</x:v>
      </x:c>
      <x:c r="F86" s="29" t="n">
        <x:v>3</x:v>
      </x:c>
      <x:c r="G86" s="29" t="n">
        <x:v>200</x:v>
      </x:c>
      <x:c r="H86" s="29" t="str">
        <x:v>mistralai/mistral-large-2512</x:v>
      </x:c>
      <x:c r="I86" s="29" t="str">
        <x:v>Mistral</x:v>
      </x:c>
      <x:c r="J86" s="29" t="str">
        <x:v>gen-1786671059-WRZ7vBBfl8TiODmZOhym</x:v>
      </x:c>
      <x:c r="K86" s="29" t="n">
        <x:v>309</x:v>
      </x:c>
      <x:c r="L86" s="29" t="n">
        <x:v>2129</x:v>
      </x:c>
      <x:c r="M86" s="29" t="n">
        <x:v>2438</x:v>
      </x:c>
      <x:c r="N86" s="31" t="n">
        <x:v>0.003348</x:v>
      </x:c>
      <x:c r="O86" s="29" t="n">
        <x:v>6276</x:v>
      </x:c>
      <x:c r="P86" s="29" t="n">
        <x:v>1</x:v>
      </x:c>
      <x:c r="Q86" s="29" t="n">
        <x:v>1</x:v>
      </x:c>
      <x:c r="R86" s="29" t="n">
        <x:v>1</x:v>
      </x:c>
      <x:c r="S86" s="29" t="n">
        <x:v>1</x:v>
      </x:c>
      <x:c r="T86" s="29" t="n">
        <x:v>0</x:v>
      </x:c>
      <x:c r="U86" s="29" t="str">
        <x:v>E</x:v>
      </x:c>
      <x:c r="V86" s="29" t="str">
        <x:v>E</x:v>
      </x:c>
      <x:c r="W86" s="29" t="str">
        <x:v>E</x:v>
      </x:c>
      <x:c r="X86" s="29" t="n">
        <x:v>1</x:v>
      </x:c>
      <x:c r="Y86" s="29" t="n">
        <x:v>1</x:v>
      </x:c>
      <x:c r="Z86" s="29" t="n">
        <x:v>0</x:v>
      </x:c>
      <x:c r="AA86" s="32" t="str">
        <x:v>Systematically groups and checks all sixteen feasible paths.</x:v>
      </x:c>
    </x:row>
    <x:row r="87" ht="34" customHeight="1">
      <x:c r="A87" s="29" t="str">
        <x:v>mistral_E03</x:v>
      </x:c>
      <x:c r="B87" s="30" t="n">
        <x:v>46248.06372144676</x:v>
      </x:c>
      <x:c r="C87" s="29" t="str">
        <x:v>E/H search burden</x:v>
      </x:c>
      <x:c r="D87" s="29" t="str">
        <x:v>mistral</x:v>
      </x:c>
      <x:c r="E87" s="29" t="str">
        <x:v>E</x:v>
      </x:c>
      <x:c r="F87" s="29" t="n">
        <x:v>3</x:v>
      </x:c>
      <x:c r="G87" s="29" t="n">
        <x:v>200</x:v>
      </x:c>
      <x:c r="H87" s="29" t="str">
        <x:v>mistralai/mistral-large-2512</x:v>
      </x:c>
      <x:c r="I87" s="29" t="str">
        <x:v>Mistral</x:v>
      </x:c>
      <x:c r="J87" s="29" t="str">
        <x:v>gen-1786671086-QnqjJPhtY4tDnNlYc9GH</x:v>
      </x:c>
      <x:c r="K87" s="29" t="n">
        <x:v>218</x:v>
      </x:c>
      <x:c r="L87" s="29" t="n">
        <x:v>1604</x:v>
      </x:c>
      <x:c r="M87" s="29" t="n">
        <x:v>1822</x:v>
      </x:c>
      <x:c r="N87" s="31" t="n">
        <x:v>0.002515</x:v>
      </x:c>
      <x:c r="O87" s="29" t="n">
        <x:v>4745</x:v>
      </x:c>
      <x:c r="P87" s="29" t="n">
        <x:v>1</x:v>
      </x:c>
      <x:c r="Q87" s="29" t="n">
        <x:v>1</x:v>
      </x:c>
      <x:c r="R87" s="29" t="n">
        <x:v>1</x:v>
      </x:c>
      <x:c r="S87" s="29" t="n">
        <x:v>1</x:v>
      </x:c>
      <x:c r="T87" s="29" t="n">
        <x:v>0</x:v>
      </x:c>
      <x:c r="U87" s="29" t="str">
        <x:v>E</x:v>
      </x:c>
      <x:c r="V87" s="29" t="str">
        <x:v>E</x:v>
      </x:c>
      <x:c r="W87" s="29" t="str">
        <x:v>E</x:v>
      </x:c>
      <x:c r="X87" s="29" t="n">
        <x:v>1</x:v>
      </x:c>
      <x:c r="Y87" s="29" t="n">
        <x:v>1</x:v>
      </x:c>
      <x:c r="Z87" s="29" t="n">
        <x:v>0</x:v>
      </x:c>
      <x:c r="AA87" s="32" t="str">
        <x:v>Explicit exhaustive enumeration of all ten feasible paths.</x:v>
      </x:c>
    </x:row>
    <x:row r="88" ht="34" customHeight="1">
      <x:c r="A88" s="29" t="str">
        <x:v>mistral_G03</x:v>
      </x:c>
      <x:c r="B88" s="30" t="n">
        <x:v>46248.0640133912</x:v>
      </x:c>
      <x:c r="C88" s="29" t="str">
        <x:v>E/H search burden</x:v>
      </x:c>
      <x:c r="D88" s="29" t="str">
        <x:v>mistral</x:v>
      </x:c>
      <x:c r="E88" s="29" t="str">
        <x:v>G</x:v>
      </x:c>
      <x:c r="F88" s="29" t="n">
        <x:v>3</x:v>
      </x:c>
      <x:c r="G88" s="29" t="n">
        <x:v>200</x:v>
      </x:c>
      <x:c r="H88" s="29" t="str">
        <x:v>mistralai/mistral-large-2512</x:v>
      </x:c>
      <x:c r="I88" s="29" t="str">
        <x:v>Mistral</x:v>
      </x:c>
      <x:c r="J88" s="29" t="str">
        <x:v>gen-1786671106-HonbFPF41QOuuh0SuSuG</x:v>
      </x:c>
      <x:c r="K88" s="29" t="n">
        <x:v>281</x:v>
      </x:c>
      <x:c r="L88" s="29" t="n">
        <x:v>2065</x:v>
      </x:c>
      <x:c r="M88" s="29" t="n">
        <x:v>2346</x:v>
      </x:c>
      <x:c r="N88" s="31" t="n">
        <x:v>0.003238</x:v>
      </x:c>
      <x:c r="O88" s="29" t="n">
        <x:v>5580</x:v>
      </x:c>
      <x:c r="P88" s="29" t="n">
        <x:v>1</x:v>
      </x:c>
      <x:c r="Q88" s="29" t="n">
        <x:v>1</x:v>
      </x:c>
      <x:c r="R88" s="29" t="n">
        <x:v>1</x:v>
      </x:c>
      <x:c r="S88" s="29" t="n">
        <x:v>1</x:v>
      </x:c>
      <x:c r="T88" s="29" t="n">
        <x:v>0</x:v>
      </x:c>
      <x:c r="U88" s="29" t="str">
        <x:v>E</x:v>
      </x:c>
      <x:c r="V88" s="29" t="str">
        <x:v>E</x:v>
      </x:c>
      <x:c r="W88" s="29" t="str">
        <x:v>E</x:v>
      </x:c>
      <x:c r="X88" s="29" t="n">
        <x:v>1</x:v>
      </x:c>
      <x:c r="Y88" s="29" t="n">
        <x:v>1</x:v>
      </x:c>
      <x:c r="Z88" s="29" t="n">
        <x:v>0</x:v>
      </x:c>
      <x:c r="AA88" s="32" t="str">
        <x:v>Explicit exhaustive enumeration of all sixteen feasible paths.</x:v>
      </x:c>
    </x:row>
    <x:row r="89" ht="34" customHeight="1">
      <x:c r="A89" s="29" t="str">
        <x:v>deepseek_E01</x:v>
      </x:c>
      <x:c r="B89" s="30" t="n">
        <x:v>46248.06483431713</x:v>
      </x:c>
      <x:c r="C89" s="29" t="str">
        <x:v>E/H search burden</x:v>
      </x:c>
      <x:c r="D89" s="29" t="str">
        <x:v>deepseek</x:v>
      </x:c>
      <x:c r="E89" s="29" t="str">
        <x:v>E</x:v>
      </x:c>
      <x:c r="F89" s="29" t="n">
        <x:v>1</x:v>
      </x:c>
      <x:c r="G89" s="29" t="n">
        <x:v>200</x:v>
      </x:c>
      <x:c r="H89" s="29" t="str">
        <x:v>deepseek/deepseek-v3.2-exp</x:v>
      </x:c>
      <x:c r="I89" s="29" t="str">
        <x:v>SiliconFlow</x:v>
      </x:c>
      <x:c r="J89" s="29" t="str">
        <x:v>gen-1786671131-zE7u8zpt25bSvPiix3cN</x:v>
      </x:c>
      <x:c r="K89" s="29" t="n">
        <x:v>201</x:v>
      </x:c>
      <x:c r="L89" s="29" t="n">
        <x:v>1435</x:v>
      </x:c>
      <x:c r="M89" s="29" t="n">
        <x:v>1636</x:v>
      </x:c>
      <x:c r="N89" s="31" t="n">
        <x:v>0.00064262</x:v>
      </x:c>
      <x:c r="O89" s="29" t="n">
        <x:v>5461</x:v>
      </x:c>
      <x:c r="P89" s="29" t="n">
        <x:v>1</x:v>
      </x:c>
      <x:c r="Q89" s="29" t="n">
        <x:v>1</x:v>
      </x:c>
      <x:c r="R89" s="29" t="n">
        <x:v>1</x:v>
      </x:c>
      <x:c r="S89" s="29" t="n">
        <x:v>1</x:v>
      </x:c>
      <x:c r="T89" s="29" t="n">
        <x:v>0</x:v>
      </x:c>
      <x:c r="U89" s="29" t="str">
        <x:v>E</x:v>
      </x:c>
      <x:c r="V89" s="29" t="str">
        <x:v>D+E</x:v>
      </x:c>
      <x:c r="W89" s="29" t="str">
        <x:v>E→D</x:v>
      </x:c>
      <x:c r="X89" s="29" t="n">
        <x:v>1</x:v>
      </x:c>
      <x:c r="Y89" s="29" t="n">
        <x:v>1</x:v>
      </x:c>
      <x:c r="Z89" s="29" t="n">
        <x:v>0</x:v>
      </x:c>
      <x:c r="AA89" s="32" t="str">
        <x:v>Finds all four minima by route inspection, then verifies them with distance updates.</x:v>
      </x:c>
    </x:row>
    <x:row r="90" ht="34" customHeight="1">
      <x:c r="A90" s="29" t="str">
        <x:v>deepseek_F01</x:v>
      </x:c>
      <x:c r="B90" s="30" t="n">
        <x:v>46248.06537256944</x:v>
      </x:c>
      <x:c r="C90" s="29" t="str">
        <x:v>E/H search burden</x:v>
      </x:c>
      <x:c r="D90" s="29" t="str">
        <x:v>deepseek</x:v>
      </x:c>
      <x:c r="E90" s="29" t="str">
        <x:v>F</x:v>
      </x:c>
      <x:c r="F90" s="29" t="n">
        <x:v>1</x:v>
      </x:c>
      <x:c r="G90" s="29" t="n">
        <x:v>200</x:v>
      </x:c>
      <x:c r="H90" s="29" t="str">
        <x:v>deepseek/deepseek-v3.2-exp</x:v>
      </x:c>
      <x:c r="I90" s="29" t="str">
        <x:v>SiliconFlow</x:v>
      </x:c>
      <x:c r="J90" s="29" t="str">
        <x:v>gen-1786671202-nFEMisjrJbGp7lgIHbe7</x:v>
      </x:c>
      <x:c r="K90" s="29" t="n">
        <x:v>198</x:v>
      </x:c>
      <x:c r="L90" s="29" t="n">
        <x:v>1048</x:v>
      </x:c>
      <x:c r="M90" s="29" t="n">
        <x:v>1246</x:v>
      </x:c>
      <x:c r="N90" s="31" t="n">
        <x:v>0.00048314</x:v>
      </x:c>
      <x:c r="O90" s="29" t="n">
        <x:v>3525</x:v>
      </x:c>
      <x:c r="P90" s="29" t="n">
        <x:v>1</x:v>
      </x:c>
      <x:c r="Q90" s="29" t="n">
        <x:v>1</x:v>
      </x:c>
      <x:c r="R90" s="29" t="n">
        <x:v>1</x:v>
      </x:c>
      <x:c r="S90" s="29" t="n">
        <x:v>1</x:v>
      </x:c>
      <x:c r="T90" s="29" t="n">
        <x:v>0</x:v>
      </x:c>
      <x:c r="U90" s="29" t="str">
        <x:v>E</x:v>
      </x:c>
      <x:c r="V90" s="29" t="str">
        <x:v>E</x:v>
      </x:c>
      <x:c r="W90" s="29" t="str">
        <x:v>E</x:v>
      </x:c>
      <x:c r="X90" s="29" t="n">
        <x:v>1</x:v>
      </x:c>
      <x:c r="Y90" s="29" t="n">
        <x:v>1</x:v>
      </x:c>
      <x:c r="Z90" s="29" t="n">
        <x:v>0</x:v>
      </x:c>
      <x:c r="AA90" s="32" t="str">
        <x:v>Explicit exhaustive enumeration of all nine feasible paths.</x:v>
      </x:c>
    </x:row>
    <x:row r="91" ht="34" customHeight="1">
      <x:c r="A91" s="29" t="str">
        <x:v>deepseek_G01</x:v>
      </x:c>
      <x:c r="B91" s="30" t="n">
        <x:v>46248.06578049769</x:v>
      </x:c>
      <x:c r="C91" s="29" t="str">
        <x:v>E/H search burden</x:v>
      </x:c>
      <x:c r="D91" s="29" t="str">
        <x:v>deepseek</x:v>
      </x:c>
      <x:c r="E91" s="29" t="str">
        <x:v>G</x:v>
      </x:c>
      <x:c r="F91" s="29" t="n">
        <x:v>1</x:v>
      </x:c>
      <x:c r="G91" s="29" t="n">
        <x:v>200</x:v>
      </x:c>
      <x:c r="H91" s="29" t="str">
        <x:v>deepseek/deepseek-v3.2-exp</x:v>
      </x:c>
      <x:c r="I91" s="29" t="str">
        <x:v>SiliconFlow</x:v>
      </x:c>
      <x:c r="J91" s="29" t="str">
        <x:v>gen-1786671249-BlhNdE3jtz58v3WbW6bT</x:v>
      </x:c>
      <x:c r="K91" s="29" t="n">
        <x:v>231</x:v>
      </x:c>
      <x:c r="L91" s="29" t="n">
        <x:v>753</x:v>
      </x:c>
      <x:c r="M91" s="29" t="n">
        <x:v>984</x:v>
      </x:c>
      <x:c r="N91" s="31" t="n">
        <x:v>0.0003711</x:v>
      </x:c>
      <x:c r="O91" s="29" t="n">
        <x:v>2615</x:v>
      </x:c>
      <x:c r="P91" s="29" t="n">
        <x:v>1</x:v>
      </x:c>
      <x:c r="Q91" s="29" t="n">
        <x:v>1</x:v>
      </x:c>
      <x:c r="R91" s="29" t="n">
        <x:v>1</x:v>
      </x:c>
      <x:c r="S91" s="29" t="n">
        <x:v>1</x:v>
      </x:c>
      <x:c r="T91" s="29" t="n">
        <x:v>0</x:v>
      </x:c>
      <x:c r="U91" s="29" t="str">
        <x:v>E</x:v>
      </x:c>
      <x:c r="V91" s="29" t="str">
        <x:v>E</x:v>
      </x:c>
      <x:c r="W91" s="29" t="str">
        <x:v>E</x:v>
      </x:c>
      <x:c r="X91" s="29" t="n">
        <x:v>1</x:v>
      </x:c>
      <x:c r="Y91" s="29" t="n">
        <x:v>1</x:v>
      </x:c>
      <x:c r="Z91" s="29" t="n">
        <x:v>0</x:v>
      </x:c>
      <x:c r="AA91" s="32" t="str">
        <x:v>Enumerates the eight optimal combinations and separately verifies the higher-weight class.</x:v>
      </x:c>
    </x:row>
    <x:row r="92" ht="34" customHeight="1">
      <x:c r="A92" s="29" t="str">
        <x:v>deepseek_H01</x:v>
      </x:c>
      <x:c r="B92" s="30" t="n">
        <x:v>46248.06646447917</x:v>
      </x:c>
      <x:c r="C92" s="29" t="str">
        <x:v>E/H search burden</x:v>
      </x:c>
      <x:c r="D92" s="29" t="str">
        <x:v>deepseek</x:v>
      </x:c>
      <x:c r="E92" s="29" t="str">
        <x:v>H</x:v>
      </x:c>
      <x:c r="F92" s="29" t="n">
        <x:v>1</x:v>
      </x:c>
      <x:c r="G92" s="29" t="n">
        <x:v>200</x:v>
      </x:c>
      <x:c r="H92" s="29" t="str">
        <x:v>deepseek/deepseek-v3.2-exp</x:v>
      </x:c>
      <x:c r="I92" s="29" t="str">
        <x:v>SiliconFlow</x:v>
      </x:c>
      <x:c r="J92" s="29" t="str">
        <x:v>gen-1786671284-ZEFI0ChayZjA3gvYvQre</x:v>
      </x:c>
      <x:c r="K92" s="29" t="n">
        <x:v>244</x:v>
      </x:c>
      <x:c r="L92" s="29" t="n">
        <x:v>1431</x:v>
      </x:c>
      <x:c r="M92" s="29" t="n">
        <x:v>1675</x:v>
      </x:c>
      <x:c r="N92" s="31" t="n">
        <x:v>0.00065259</x:v>
      </x:c>
      <x:c r="O92" s="29" t="n">
        <x:v>4982</x:v>
      </x:c>
      <x:c r="P92" s="29" t="n">
        <x:v>1</x:v>
      </x:c>
      <x:c r="Q92" s="29" t="n">
        <x:v>1</x:v>
      </x:c>
      <x:c r="R92" s="29" t="n">
        <x:v>1</x:v>
      </x:c>
      <x:c r="S92" s="29" t="n">
        <x:v>1</x:v>
      </x:c>
      <x:c r="T92" s="29" t="n">
        <x:v>0</x:v>
      </x:c>
      <x:c r="U92" s="29" t="str">
        <x:v>E</x:v>
      </x:c>
      <x:c r="V92" s="29" t="str">
        <x:v>E</x:v>
      </x:c>
      <x:c r="W92" s="29" t="str">
        <x:v>E</x:v>
      </x:c>
      <x:c r="X92" s="29" t="n">
        <x:v>1</x:v>
      </x:c>
      <x:c r="Y92" s="29" t="n">
        <x:v>1</x:v>
      </x:c>
      <x:c r="Z92" s="29" t="n">
        <x:v>0</x:v>
      </x:c>
      <x:c r="AA92" s="32" t="str">
        <x:v>Systematically groups and calculates all sixteen feasible paths.</x:v>
      </x:c>
    </x:row>
    <x:row r="93" ht="34" customHeight="1">
      <x:c r="A93" s="29" t="str">
        <x:v>deepseek_H02</x:v>
      </x:c>
      <x:c r="B93" s="30" t="n">
        <x:v>46248.06708541667</x:v>
      </x:c>
      <x:c r="C93" s="29" t="str">
        <x:v>E/H search burden</x:v>
      </x:c>
      <x:c r="D93" s="29" t="str">
        <x:v>deepseek</x:v>
      </x:c>
      <x:c r="E93" s="29" t="str">
        <x:v>H</x:v>
      </x:c>
      <x:c r="F93" s="29" t="n">
        <x:v>2</x:v>
      </x:c>
      <x:c r="G93" s="29" t="n">
        <x:v>200</x:v>
      </x:c>
      <x:c r="H93" s="29" t="str">
        <x:v>deepseek/deepseek-v3.2-exp</x:v>
      </x:c>
      <x:c r="I93" s="29" t="str">
        <x:v>SiliconFlow</x:v>
      </x:c>
      <x:c r="J93" s="29" t="str">
        <x:v>gen-1786671343-1P66DB8Zi5nwj0PjNH1N</x:v>
      </x:c>
      <x:c r="K93" s="29" t="n">
        <x:v>244</x:v>
      </x:c>
      <x:c r="L93" s="29" t="n">
        <x:v>1283</x:v>
      </x:c>
      <x:c r="M93" s="29" t="n">
        <x:v>1527</x:v>
      </x:c>
      <x:c r="N93" s="31" t="n">
        <x:v>0.00059191</x:v>
      </x:c>
      <x:c r="O93" s="29" t="n">
        <x:v>4395</x:v>
      </x:c>
      <x:c r="P93" s="29" t="n">
        <x:v>1</x:v>
      </x:c>
      <x:c r="Q93" s="29" t="n">
        <x:v>1</x:v>
      </x:c>
      <x:c r="R93" s="29" t="n">
        <x:v>1</x:v>
      </x:c>
      <x:c r="S93" s="29" t="n">
        <x:v>1</x:v>
      </x:c>
      <x:c r="T93" s="29" t="n">
        <x:v>0</x:v>
      </x:c>
      <x:c r="U93" s="29" t="str">
        <x:v>E</x:v>
      </x:c>
      <x:c r="V93" s="29" t="str">
        <x:v>E</x:v>
      </x:c>
      <x:c r="W93" s="29" t="str">
        <x:v>E</x:v>
      </x:c>
      <x:c r="X93" s="29" t="n">
        <x:v>1</x:v>
      </x:c>
      <x:c r="Y93" s="29" t="n">
        <x:v>1</x:v>
      </x:c>
      <x:c r="Z93" s="29" t="n">
        <x:v>0</x:v>
      </x:c>
      <x:c r="AA93" s="32" t="str">
        <x:v>Explicit exhaustive enumeration of all sixteen feasible paths.</x:v>
      </x:c>
    </x:row>
    <x:row r="94" ht="34" customHeight="1">
      <x:c r="A94" s="29" t="str">
        <x:v>deepseek_G02</x:v>
      </x:c>
      <x:c r="B94" s="30" t="n">
        <x:v>46248.06773015046</x:v>
      </x:c>
      <x:c r="C94" s="29" t="str">
        <x:v>E/H search burden</x:v>
      </x:c>
      <x:c r="D94" s="29" t="str">
        <x:v>deepseek</x:v>
      </x:c>
      <x:c r="E94" s="29" t="str">
        <x:v>G</x:v>
      </x:c>
      <x:c r="F94" s="29" t="n">
        <x:v>2</x:v>
      </x:c>
      <x:c r="G94" s="29" t="n">
        <x:v>200</x:v>
      </x:c>
      <x:c r="H94" s="29" t="str">
        <x:v>deepseek/deepseek-v3.2-exp</x:v>
      </x:c>
      <x:c r="I94" s="29" t="str">
        <x:v>SiliconFlow</x:v>
      </x:c>
      <x:c r="J94" s="29" t="str">
        <x:v>gen-1786671397-5EwB2gce71CPkxcuqf3r</x:v>
      </x:c>
      <x:c r="K94" s="29" t="n">
        <x:v>231</x:v>
      </x:c>
      <x:c r="L94" s="29" t="n">
        <x:v>1046</x:v>
      </x:c>
      <x:c r="M94" s="29" t="n">
        <x:v>1277</x:v>
      </x:c>
      <x:c r="N94" s="31" t="n">
        <x:v>0.00049123</x:v>
      </x:c>
      <x:c r="O94" s="29" t="n">
        <x:v>4005</x:v>
      </x:c>
      <x:c r="P94" s="29" t="n">
        <x:v>1</x:v>
      </x:c>
      <x:c r="Q94" s="29" t="n">
        <x:v>1</x:v>
      </x:c>
      <x:c r="R94" s="29" t="n">
        <x:v>1</x:v>
      </x:c>
      <x:c r="S94" s="29" t="n">
        <x:v>1</x:v>
      </x:c>
      <x:c r="T94" s="29" t="n">
        <x:v>0</x:v>
      </x:c>
      <x:c r="U94" s="29" t="str">
        <x:v>E</x:v>
      </x:c>
      <x:c r="V94" s="29" t="str">
        <x:v>E</x:v>
      </x:c>
      <x:c r="W94" s="29" t="str">
        <x:v>E</x:v>
      </x:c>
      <x:c r="X94" s="29" t="n">
        <x:v>1</x:v>
      </x:c>
      <x:c r="Y94" s="29" t="n">
        <x:v>1</x:v>
      </x:c>
      <x:c r="Z94" s="29" t="n">
        <x:v>0</x:v>
      </x:c>
      <x:c r="AA94" s="32" t="str">
        <x:v>Enumerates all optimal combinations and verifies the complete layered structure.</x:v>
      </x:c>
    </x:row>
    <x:row r="95" ht="34" customHeight="1">
      <x:c r="A95" s="29" t="str">
        <x:v>deepseek_F02</x:v>
      </x:c>
      <x:c r="B95" s="30" t="n">
        <x:v>46248.06841053241</x:v>
      </x:c>
      <x:c r="C95" s="29" t="str">
        <x:v>E/H search burden</x:v>
      </x:c>
      <x:c r="D95" s="29" t="str">
        <x:v>deepseek</x:v>
      </x:c>
      <x:c r="E95" s="29" t="str">
        <x:v>F</x:v>
      </x:c>
      <x:c r="F95" s="29" t="n">
        <x:v>2</x:v>
      </x:c>
      <x:c r="G95" s="29" t="n">
        <x:v>200</x:v>
      </x:c>
      <x:c r="H95" s="29" t="str">
        <x:v>deepseek/deepseek-v3.2-exp</x:v>
      </x:c>
      <x:c r="I95" s="29" t="str">
        <x:v>SiliconFlow</x:v>
      </x:c>
      <x:c r="J95" s="29" t="str">
        <x:v>gen-1786671452-2qujgfO9w84h3KGyQpRZ</x:v>
      </x:c>
      <x:c r="K95" s="29" t="n">
        <x:v>198</x:v>
      </x:c>
      <x:c r="L95" s="29" t="n">
        <x:v>1238</x:v>
      </x:c>
      <x:c r="M95" s="29" t="n">
        <x:v>1436</x:v>
      </x:c>
      <x:c r="N95" s="31" t="n">
        <x:v>0.00056104</x:v>
      </x:c>
      <x:c r="O95" s="29" t="n">
        <x:v>4762</x:v>
      </x:c>
      <x:c r="P95" s="29" t="n">
        <x:v>1</x:v>
      </x:c>
      <x:c r="Q95" s="29" t="n">
        <x:v>1</x:v>
      </x:c>
      <x:c r="R95" s="29" t="n">
        <x:v>1</x:v>
      </x:c>
      <x:c r="S95" s="29" t="n">
        <x:v>1</x:v>
      </x:c>
      <x:c r="T95" s="29" t="n">
        <x:v>0</x:v>
      </x:c>
      <x:c r="U95" s="29" t="str">
        <x:v>E</x:v>
      </x:c>
      <x:c r="V95" s="29" t="str">
        <x:v>E</x:v>
      </x:c>
      <x:c r="W95" s="29" t="str">
        <x:v>E</x:v>
      </x:c>
      <x:c r="X95" s="29" t="n">
        <x:v>1</x:v>
      </x:c>
      <x:c r="Y95" s="29" t="n">
        <x:v>1</x:v>
      </x:c>
      <x:c r="Z95" s="29" t="n">
        <x:v>0</x:v>
      </x:c>
      <x:c r="AA95" s="32" t="str">
        <x:v>Explicit exhaustive enumeration of all nine feasible paths.</x:v>
      </x:c>
    </x:row>
    <x:row r="96" ht="34" customHeight="1">
      <x:c r="A96" s="29" t="str">
        <x:v>deepseek_E02</x:v>
      </x:c>
      <x:c r="B96" s="30" t="n">
        <x:v>46248.06890583333</x:v>
      </x:c>
      <x:c r="C96" s="29" t="str">
        <x:v>E/H search burden</x:v>
      </x:c>
      <x:c r="D96" s="29" t="str">
        <x:v>deepseek</x:v>
      </x:c>
      <x:c r="E96" s="29" t="str">
        <x:v>E</x:v>
      </x:c>
      <x:c r="F96" s="29" t="n">
        <x:v>2</x:v>
      </x:c>
      <x:c r="G96" s="29" t="n">
        <x:v>200</x:v>
      </x:c>
      <x:c r="H96" s="29" t="str">
        <x:v>deepseek/deepseek-v3.2-exp</x:v>
      </x:c>
      <x:c r="I96" s="29" t="str">
        <x:v>SiliconFlow</x:v>
      </x:c>
      <x:c r="J96" s="29" t="str">
        <x:v>gen-1786671511-BnOiDaCdwCsq1nDQi2oV</x:v>
      </x:c>
      <x:c r="K96" s="29" t="n">
        <x:v>201</x:v>
      </x:c>
      <x:c r="L96" s="29" t="n">
        <x:v>969</x:v>
      </x:c>
      <x:c r="M96" s="29" t="n">
        <x:v>1170</x:v>
      </x:c>
      <x:c r="N96" s="31" t="n">
        <x:v>0.00045156</x:v>
      </x:c>
      <x:c r="O96" s="29" t="n">
        <x:v>3431</x:v>
      </x:c>
      <x:c r="P96" s="29" t="n">
        <x:v>1</x:v>
      </x:c>
      <x:c r="Q96" s="29" t="n">
        <x:v>1</x:v>
      </x:c>
      <x:c r="R96" s="29" t="n">
        <x:v>1</x:v>
      </x:c>
      <x:c r="S96" s="29" t="n">
        <x:v>1</x:v>
      </x:c>
      <x:c r="T96" s="29" t="n">
        <x:v>0</x:v>
      </x:c>
      <x:c r="U96" s="29" t="str">
        <x:v>E</x:v>
      </x:c>
      <x:c r="V96" s="29" t="str">
        <x:v>E</x:v>
      </x:c>
      <x:c r="W96" s="29" t="str">
        <x:v>E</x:v>
      </x:c>
      <x:c r="X96" s="29" t="n">
        <x:v>1</x:v>
      </x:c>
      <x:c r="Y96" s="29" t="n">
        <x:v>1</x:v>
      </x:c>
      <x:c r="Z96" s="29" t="n">
        <x:v>0</x:v>
      </x:c>
      <x:c r="AA96" s="32" t="str">
        <x:v>Compares both complete route classes and lists all four minima.</x:v>
      </x:c>
    </x:row>
    <x:row r="97" ht="34" customHeight="1">
      <x:c r="A97" s="29" t="str">
        <x:v>deepseek_F03</x:v>
      </x:c>
      <x:c r="B97" s="30" t="n">
        <x:v>46248.069774097225</x:v>
      </x:c>
      <x:c r="C97" s="29" t="str">
        <x:v>E/H search burden</x:v>
      </x:c>
      <x:c r="D97" s="29" t="str">
        <x:v>deepseek</x:v>
      </x:c>
      <x:c r="E97" s="29" t="str">
        <x:v>F</x:v>
      </x:c>
      <x:c r="F97" s="29" t="n">
        <x:v>3</x:v>
      </x:c>
      <x:c r="G97" s="29" t="n">
        <x:v>200</x:v>
      </x:c>
      <x:c r="H97" s="29" t="str">
        <x:v>deepseek/deepseek-v3.2-exp</x:v>
      </x:c>
      <x:c r="I97" s="29" t="str">
        <x:v>SiliconFlow</x:v>
      </x:c>
      <x:c r="J97" s="29" t="str">
        <x:v>gen-1786671554-EcCPbMQZs5jVuWmydb4d</x:v>
      </x:c>
      <x:c r="K97" s="29" t="n">
        <x:v>198</x:v>
      </x:c>
      <x:c r="L97" s="29" t="n">
        <x:v>1472</x:v>
      </x:c>
      <x:c r="M97" s="29" t="n">
        <x:v>1670</x:v>
      </x:c>
      <x:c r="N97" s="31" t="n">
        <x:v>0.00065698</x:v>
      </x:c>
      <x:c r="O97" s="29" t="n">
        <x:v>5654</x:v>
      </x:c>
      <x:c r="P97" s="29" t="n">
        <x:v>1</x:v>
      </x:c>
      <x:c r="Q97" s="29" t="n">
        <x:v>1</x:v>
      </x:c>
      <x:c r="R97" s="29" t="n">
        <x:v>1</x:v>
      </x:c>
      <x:c r="S97" s="29" t="n">
        <x:v>1</x:v>
      </x:c>
      <x:c r="T97" s="29" t="n">
        <x:v>0</x:v>
      </x:c>
      <x:c r="U97" s="29" t="str">
        <x:v>E</x:v>
      </x:c>
      <x:c r="V97" s="29" t="str">
        <x:v>D+E</x:v>
      </x:c>
      <x:c r="W97" s="29" t="str">
        <x:v>E→D</x:v>
      </x:c>
      <x:c r="X97" s="29" t="n">
        <x:v>1</x:v>
      </x:c>
      <x:c r="Y97" s="29" t="n">
        <x:v>1</x:v>
      </x:c>
      <x:c r="Z97" s="29" t="n">
        <x:v>0</x:v>
      </x:c>
      <x:c r="AA97" s="32" t="str">
        <x:v>Enumerates candidate routes first, then verifies the result with Dijkstra distances.</x:v>
      </x:c>
    </x:row>
    <x:row r="98" ht="34" customHeight="1">
      <x:c r="A98" s="29" t="str">
        <x:v>deepseek_H03</x:v>
      </x:c>
      <x:c r="B98" s="30" t="n">
        <x:v>46248.07029640046</x:v>
      </x:c>
      <x:c r="C98" s="29" t="str">
        <x:v>E/H search burden</x:v>
      </x:c>
      <x:c r="D98" s="29" t="str">
        <x:v>deepseek</x:v>
      </x:c>
      <x:c r="E98" s="29" t="str">
        <x:v>H</x:v>
      </x:c>
      <x:c r="F98" s="29" t="n">
        <x:v>3</x:v>
      </x:c>
      <x:c r="G98" s="29" t="n">
        <x:v>200</x:v>
      </x:c>
      <x:c r="H98" s="29" t="str">
        <x:v>deepseek/deepseek-v3.2-exp</x:v>
      </x:c>
      <x:c r="I98" s="29" t="str">
        <x:v>SiliconFlow</x:v>
      </x:c>
      <x:c r="J98" s="29" t="str">
        <x:v>gen-1786671629-rEMD1f28LbIIepS562fG</x:v>
      </x:c>
      <x:c r="K98" s="29" t="n">
        <x:v>244</x:v>
      </x:c>
      <x:c r="L98" s="29" t="n">
        <x:v>1069</x:v>
      </x:c>
      <x:c r="M98" s="29" t="n">
        <x:v>1313</x:v>
      </x:c>
      <x:c r="N98" s="31" t="n">
        <x:v>0.00050417</x:v>
      </x:c>
      <x:c r="O98" s="29" t="n">
        <x:v>3704</x:v>
      </x:c>
      <x:c r="P98" s="29" t="n">
        <x:v>1</x:v>
      </x:c>
      <x:c r="Q98" s="29" t="n">
        <x:v>1</x:v>
      </x:c>
      <x:c r="R98" s="29" t="n">
        <x:v>1</x:v>
      </x:c>
      <x:c r="S98" s="29" t="n">
        <x:v>1</x:v>
      </x:c>
      <x:c r="T98" s="29" t="n">
        <x:v>0</x:v>
      </x:c>
      <x:c r="U98" s="29" t="str">
        <x:v>E</x:v>
      </x:c>
      <x:c r="V98" s="29" t="str">
        <x:v>E</x:v>
      </x:c>
      <x:c r="W98" s="29" t="str">
        <x:v>E</x:v>
      </x:c>
      <x:c r="X98" s="29" t="n">
        <x:v>1</x:v>
      </x:c>
      <x:c r="Y98" s="29" t="n">
        <x:v>1</x:v>
      </x:c>
      <x:c r="Z98" s="29" t="n">
        <x:v>0</x:v>
      </x:c>
      <x:c r="AA98" s="32" t="str">
        <x:v>Systematically groups and calculates all sixteen feasible paths.</x:v>
      </x:c>
    </x:row>
    <x:row r="99" ht="34" customHeight="1">
      <x:c r="A99" s="29" t="str">
        <x:v>deepseek_E03</x:v>
      </x:c>
      <x:c r="B99" s="30" t="n">
        <x:v>46248.07086339121</x:v>
      </x:c>
      <x:c r="C99" s="29" t="str">
        <x:v>E/H search burden</x:v>
      </x:c>
      <x:c r="D99" s="29" t="str">
        <x:v>deepseek</x:v>
      </x:c>
      <x:c r="E99" s="29" t="str">
        <x:v>E</x:v>
      </x:c>
      <x:c r="F99" s="29" t="n">
        <x:v>3</x:v>
      </x:c>
      <x:c r="G99" s="29" t="n">
        <x:v>200</x:v>
      </x:c>
      <x:c r="H99" s="29" t="str">
        <x:v>deepseek/deepseek-v3.2-exp</x:v>
      </x:c>
      <x:c r="I99" s="29" t="str">
        <x:v>SiliconFlow</x:v>
      </x:c>
      <x:c r="J99" s="29" t="str">
        <x:v>gen-1786671674-pBZtB7Ml4syz4w8s3fEp</x:v>
      </x:c>
      <x:c r="K99" s="29" t="n">
        <x:v>201</x:v>
      </x:c>
      <x:c r="L99" s="29" t="n">
        <x:v>926</x:v>
      </x:c>
      <x:c r="M99" s="29" t="n">
        <x:v>1127</x:v>
      </x:c>
      <x:c r="N99" s="31" t="n">
        <x:v>0.00043393</x:v>
      </x:c>
      <x:c r="O99" s="29" t="n">
        <x:v>3232</x:v>
      </x:c>
      <x:c r="P99" s="29" t="n">
        <x:v>1</x:v>
      </x:c>
      <x:c r="Q99" s="29" t="n">
        <x:v>1</x:v>
      </x:c>
      <x:c r="R99" s="29" t="n">
        <x:v>1</x:v>
      </x:c>
      <x:c r="S99" s="29" t="n">
        <x:v>1</x:v>
      </x:c>
      <x:c r="T99" s="29" t="n">
        <x:v>0</x:v>
      </x:c>
      <x:c r="U99" s="29" t="str">
        <x:v>D</x:v>
      </x:c>
      <x:c r="V99" s="29" t="str">
        <x:v>D+E</x:v>
      </x:c>
      <x:c r="W99" s="29" t="str">
        <x:v>D→E</x:v>
      </x:c>
      <x:c r="X99" s="29" t="n">
        <x:v>1</x:v>
      </x:c>
      <x:c r="Y99" s="29" t="n">
        <x:v>1</x:v>
      </x:c>
      <x:c r="Z99" s="29" t="n">
        <x:v>0</x:v>
      </x:c>
      <x:c r="AA99" s="32" t="str">
        <x:v>Computes shortest-distance route classes, then lists all paths attaining the minimum.</x:v>
      </x:c>
    </x:row>
    <x:row r="100" ht="34" customHeight="1">
      <x:c r="A100" s="29" t="str">
        <x:v>deepseek_G03</x:v>
      </x:c>
      <x:c r="B100" s="30" t="n">
        <x:v>46248.071514282405</x:v>
      </x:c>
      <x:c r="C100" s="29" t="str">
        <x:v>E/H search burden</x:v>
      </x:c>
      <x:c r="D100" s="29" t="str">
        <x:v>deepseek</x:v>
      </x:c>
      <x:c r="E100" s="29" t="str">
        <x:v>G</x:v>
      </x:c>
      <x:c r="F100" s="29" t="n">
        <x:v>3</x:v>
      </x:c>
      <x:c r="G100" s="29" t="n">
        <x:v>200</x:v>
      </x:c>
      <x:c r="H100" s="29" t="str">
        <x:v>deepseek/deepseek-v3.2-exp</x:v>
      </x:c>
      <x:c r="I100" s="29" t="str">
        <x:v>SiliconFlow</x:v>
      </x:c>
      <x:c r="J100" s="29" t="str">
        <x:v>gen-1786671723-z5Rd3vN2WgDz5zxS9mtd</x:v>
      </x:c>
      <x:c r="K100" s="29" t="n">
        <x:v>231</x:v>
      </x:c>
      <x:c r="L100" s="29" t="n">
        <x:v>1022</x:v>
      </x:c>
      <x:c r="M100" s="29" t="n">
        <x:v>1253</x:v>
      </x:c>
      <x:c r="N100" s="31" t="n">
        <x:v>0.00048139</x:v>
      </x:c>
      <x:c r="O100" s="29" t="n">
        <x:v>3681</x:v>
      </x:c>
      <x:c r="P100" s="29" t="n">
        <x:v>1</x:v>
      </x:c>
      <x:c r="Q100" s="29" t="n">
        <x:v>1</x:v>
      </x:c>
      <x:c r="R100" s="29" t="n">
        <x:v>1</x:v>
      </x:c>
      <x:c r="S100" s="29" t="n">
        <x:v>1</x:v>
      </x:c>
      <x:c r="T100" s="29" t="n">
        <x:v>0</x:v>
      </x:c>
      <x:c r="U100" s="29" t="str">
        <x:v>E</x:v>
      </x:c>
      <x:c r="V100" s="29" t="str">
        <x:v>E</x:v>
      </x:c>
      <x:c r="W100" s="29" t="str">
        <x:v>E</x:v>
      </x:c>
      <x:c r="X100" s="29" t="n">
        <x:v>1</x:v>
      </x:c>
      <x:c r="Y100" s="29" t="n">
        <x:v>1</x:v>
      </x:c>
      <x:c r="Z100" s="29" t="n">
        <x:v>0</x:v>
      </x:c>
      <x:c r="AA100" s="32" t="str">
        <x:v>Enumerates all sixteen layered combinations by weight class.</x:v>
      </x:c>
    </x:row>
  </x:sheetData>
  <x:mergeCells>
    <x:mergeCell ref="A1:AA1"/>
    <x:mergeCell ref="A2:AA2"/>
  </x:mergeCells>
  <x:conditionalFormatting sqref="P5:P100">
    <x:cfRule type="expression" dxfId="0" priority="1">
      <x:formula>P5=0</x:formula>
    </x:cfRule>
  </x:conditionalFormatting>
  <x:conditionalFormatting sqref="Q5:Q100">
    <x:cfRule type="expression" dxfId="1" priority="2">
      <x:formula>Q5=0</x:formula>
    </x:cfRule>
  </x:conditionalFormatting>
  <x:conditionalFormatting sqref="R5:R100">
    <x:cfRule type="expression" dxfId="2" priority="3">
      <x:formula>R5=0</x:formula>
    </x:cfRule>
  </x:conditionalFormatting>
  <x:conditionalFormatting sqref="S5:S100">
    <x:cfRule type="expression" dxfId="3" priority="4">
      <x:formula>S5=0</x:formula>
    </x:cfRule>
  </x:conditionalFormatting>
  <x:conditionalFormatting sqref="X5:X100">
    <x:cfRule type="expression" dxfId="4" priority="5">
      <x:formula>X5=0</x:formula>
    </x:cfRule>
  </x:conditionalFormatting>
  <x:conditionalFormatting sqref="Y5:Y100">
    <x:cfRule type="expression" dxfId="5" priority="6">
      <x:formula>Y5=0</x:formula>
    </x:cfRule>
  </x:conditionalFormatting>
  <x:conditionalFormatting sqref="T5:T100">
    <x:cfRule type="expression" dxfId="6" priority="7">
      <x:formula>T5=1</x:formula>
    </x:cfRule>
  </x:conditionalFormatting>
  <x:conditionalFormatting sqref="Z5:Z100">
    <x:cfRule type="expression" dxfId="7" priority="8">
      <x:formula>Z5=1</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3" hidden="0" customWidth="1"/>
    <x:col min="3" max="3" width="22" hidden="0" customWidth="1"/>
    <x:col min="4" max="4" width="12" hidden="0" customWidth="1"/>
    <x:col min="5" max="5" width="12" hidden="0" customWidth="1"/>
    <x:col min="6" max="6" width="12" hidden="0" customWidth="1"/>
    <x:col min="7" max="7" width="12" hidden="0" customWidth="1"/>
    <x:col min="8" max="8" width="30" hidden="0" customWidth="1"/>
    <x:col min="9" max="9" width="18" hidden="0" customWidth="1"/>
    <x:col min="10" max="10" width="30" hidden="0" customWidth="1"/>
    <x:col min="11" max="11" width="18" hidden="0" customWidth="1"/>
    <x:col min="12" max="12" width="30" hidden="0" customWidth="1"/>
    <x:col min="13" max="13" width="13" hidden="0" customWidth="1"/>
    <x:col min="14" max="14" width="13" hidden="0" customWidth="1"/>
    <x:col min="15" max="15" width="13" hidden="0" customWidth="1"/>
    <x:col min="16" max="16" width="13" hidden="0" customWidth="1"/>
    <x:col min="17" max="17" width="82" hidden="0" customWidth="1"/>
  </x:cols>
  <x:sheetData>
    <x:row r="1" ht="30" customHeight="1">
      <x:c r="A1" s="3" t="str">
        <x:v>Raw Responses</x:v>
      </x:c>
    </x:row>
    <x:row r="2" ht="28" customHeight="1">
      <x:c r="A2" s="7" t="str">
        <x:v>Unaltered visible response text and request/response metadata for all 96 runs.</x:v>
      </x:c>
    </x:row>
    <x:row r="4">
      <x:c r="A4" s="15" t="str">
        <x:v>run_id</x:v>
      </x:c>
      <x:c r="B4" s="15" t="str">
        <x:v>timestamp_utc</x:v>
      </x:c>
      <x:c r="C4" s="15" t="str">
        <x:v>study_phase</x:v>
      </x:c>
      <x:c r="D4" s="15" t="str">
        <x:v>model_key</x:v>
      </x:c>
      <x:c r="E4" s="15" t="str">
        <x:v>graph</x:v>
      </x:c>
      <x:c r="F4" s="15" t="str">
        <x:v>repetition</x:v>
      </x:c>
      <x:c r="G4" s="15" t="str">
        <x:v>http_status</x:v>
      </x:c>
      <x:c r="H4" s="15" t="str">
        <x:v>requested_model</x:v>
      </x:c>
      <x:c r="I4" s="15" t="str">
        <x:v>requested_provider</x:v>
      </x:c>
      <x:c r="J4" s="15" t="str">
        <x:v>returned_model</x:v>
      </x:c>
      <x:c r="K4" s="15" t="str">
        <x:v>returned_provider</x:v>
      </x:c>
      <x:c r="L4" s="15" t="str">
        <x:v>response_id</x:v>
      </x:c>
      <x:c r="M4" s="15" t="str">
        <x:v>prompt_tokens</x:v>
      </x:c>
      <x:c r="N4" s="15" t="str">
        <x:v>completion_tokens</x:v>
      </x:c>
      <x:c r="O4" s="15" t="str">
        <x:v>total_tokens</x:v>
      </x:c>
      <x:c r="P4" s="15" t="str">
        <x:v>cost_usd</x:v>
      </x:c>
      <x:c r="Q4" s="15" t="str">
        <x:v>visible_output</x:v>
      </x:c>
    </x:row>
    <x:row r="5" ht="48" customHeight="1">
      <x:c r="A5" s="29" t="str">
        <x:v>claude_A01</x:v>
      </x:c>
      <x:c r="B5" s="30" t="n">
        <x:v>46247.92873511574</x:v>
      </x:c>
      <x:c r="C5" s="29" t="str">
        <x:v>A/B base</x:v>
      </x:c>
      <x:c r="D5" s="29" t="str">
        <x:v>claude</x:v>
      </x:c>
      <x:c r="E5" s="29" t="str">
        <x:v>A</x:v>
      </x:c>
      <x:c r="F5" s="29" t="n">
        <x:v>1</x:v>
      </x:c>
      <x:c r="G5" s="29" t="n">
        <x:v>200</x:v>
      </x:c>
      <x:c r="H5" s="29" t="str">
        <x:v>anthropic/claude-sonnet-4.6</x:v>
      </x:c>
      <x:c r="I5" s="29" t="str">
        <x:v>anthropic</x:v>
      </x:c>
      <x:c r="J5" s="29" t="str">
        <x:v>anthropic/claude-sonnet-4.6</x:v>
      </x:c>
      <x:c r="K5" s="29" t="str">
        <x:v>Anthropic</x:v>
      </x:c>
      <x:c r="L5" s="29" t="str">
        <x:v>gen-1786659443-3aXR8mezSgH00AoSbzUj</x:v>
      </x:c>
      <x:c r="M5" s="29" t="n">
        <x:v>161</x:v>
      </x:c>
      <x:c r="N5" s="29" t="n">
        <x:v>521</x:v>
      </x:c>
      <x:c r="O5" s="29" t="n">
        <x:v>682</x:v>
      </x:c>
      <x:c r="P5" s="31" t="n">
        <x:v>0.008298</x:v>
      </x:c>
      <x:c r="Q5" s="32" t="str">
        <x:v>## Method: Dijkstra's Algorithm
I'll systematically find shortest paths from S to T.
### Step-by-step Dijkstra's
**Initialization:**
- dist(S) = 0, all others = ∞
- Unvisited: {S, A, B, C, D, T}
**Process S** (dist = 0):
- S → A: 0 + 1 = 1 → dist(A) = 1
- S → B: 0 + 2 = 2 → dist(B) = 2
**Process A** (dist = 1, next smallest):
- A → D: 1 + 2 = 3 → dist(D) = 3
- A → T: 1 + 6 = 7 → dist(T) = 7
**Process B** (dist = 2):
- B → C: 2 + 2 = 4 → dist(C) = 4
**Process D** (dist = 3):
- D → T: 3 + 3 = 6 → dist(T) = min(7, 6) = **6**
**Process C** (dist = 4):
- C → T: 4 + 2 = 6 → dist(T) = min(6, 6) = **6** (tie!)
**Process T** (dist = 6): done.
---
### Enumerate All Paths and Their Weights
| Path | Weights | Total |
|------|---------|-------|
| S → A → D → T | 1+2+3 | **6** |
| S → B → C → T | 2+2+2 | **6** |
| S → A → T | 1+6 | 7 |
---
### Result: Two distinct minimum-weight paths
**Path 1:** S → A → D → T
- Total weight: **6**
- Number of edges: **3**
**Path 2:** S → B → C → T
- Total weight: **6**
- Number of edges: **3**
Both paths achieve the minimum total weight of **6**.</x:v>
      </x:c>
    </x:row>
    <x:row r="6" ht="48" customHeight="1">
      <x:c r="A6" s="29" t="str">
        <x:v>claude_B01</x:v>
      </x:c>
      <x:c r="B6" s="30" t="n">
        <x:v>46247.92883159722</x:v>
      </x:c>
      <x:c r="C6" s="29" t="str">
        <x:v>A/B base</x:v>
      </x:c>
      <x:c r="D6" s="29" t="str">
        <x:v>claude</x:v>
      </x:c>
      <x:c r="E6" s="29" t="str">
        <x:v>B</x:v>
      </x:c>
      <x:c r="F6" s="29" t="n">
        <x:v>1</x:v>
      </x:c>
      <x:c r="G6" s="29" t="n">
        <x:v>200</x:v>
      </x:c>
      <x:c r="H6" s="29" t="str">
        <x:v>anthropic/claude-sonnet-4.6</x:v>
      </x:c>
      <x:c r="I6" s="29" t="str">
        <x:v>anthropic</x:v>
      </x:c>
      <x:c r="J6" s="29" t="str">
        <x:v>anthropic/claude-sonnet-4.6</x:v>
      </x:c>
      <x:c r="K6" s="29" t="str">
        <x:v>Anthropic</x:v>
      </x:c>
      <x:c r="L6" s="29" t="str">
        <x:v>gen-1786659451-2kAJnnZ0kLpUVfG6BE7b</x:v>
      </x:c>
      <x:c r="M6" s="29" t="n">
        <x:v>161</x:v>
      </x:c>
      <x:c r="N6" s="29" t="n">
        <x:v>848</x:v>
      </x:c>
      <x:c r="O6" s="29" t="n">
        <x:v>1009</x:v>
      </x:c>
      <x:c r="P6" s="31" t="n">
        <x:v>0.013203</x:v>
      </x:c>
      <x:c r="Q6" s="32" t="str">
        <x:v># Shortest Path from S to T
## Method: Dijkstra's Algorithm
I'll systematically find shortest distances from S to all nodes.
### Initialization
| Node | Distance | Previous |
|------|----------|----------|
| S | 0 | — |
| A | ∞ | — |
| B | ∞ | — |
| C | ∞ | — |
| D | ∞ | — |
| T | ∞ | — |
### Step-by-Step Relaxation
**Process S** (dist = 0):
- S → A: 0 + 1 = **1**
- S → B: 0 + 2 = **2**
| Node | Distance | Previous |
|------|----------|----------|
| S | 0 | — |
| **A** | **1** | S |
| **B** | **2** | S |
| C | ∞ | — |
| D | ∞ | — |
| T | ∞ | — |
**Process A** (dist = 1, lowest unvisited):
- A → D: 1 + 3 = **4**
- A → T: 1 + 5 = **6**
| Node | Distance | Previous |
|------|----------|----------|
| B | 2 | S |
| C | ∞ | — |
| **D** | **4** | A |
| T | 6 | A |
**Process B** (dist = 2):
- B → C: 2 + 2 = **4**
| Node | Distance | Previous |
|------|----------|----------|
| C | 4 | B |
| D | 4 | A |
| T | 6 | A |
**Process C** (dist = 4, tied with D — process both):
- C → T: 4 + 2 = **6** ← ties current T distance of 6 ✓
**Process D** (dist = 4):
- D → T: 4 + 3 = **7** &gt; 6, no update
**Process T** (dist = 6): done.
### Final Distances
| Node | Distance |
|------|----------|
| S | 0 |
| A | 1 |
| B | 2 |
| C | 4 |
| D | 4 |
| T | 6 |
---
## Tracing All Minimum-Weight Paths to T (total weight = 6)
**Path via A → T directly:**
- S → A → T: 1 + 5 = **6** ✓
**Path via A → D → T:**
- S → A → D → T: 1 + 3 + 3 = **7** ✗ (not minimum)
**Path via B → C → T:**
- S → B → C → T: 2 + 2 + 2 = **6** ✓
---
## Results
| Path | Node Sequence | Total Weight | Edges |
|------|--------------|-------------|-------|
| 1 | S → A → T | 6 | 2 |
| 2 | S → B → C → T | 6 | 3 |
Both paths achieve the **minimum total weight of 6**. There are no other paths, as the remaining candidate (S→A→D→T = 7) exceeds the minimum.</x:v>
      </x:c>
    </x:row>
    <x:row r="7" ht="48" customHeight="1">
      <x:c r="A7" s="29" t="str">
        <x:v>claude_B02</x:v>
      </x:c>
      <x:c r="B7" s="30" t="n">
        <x:v>46247.92897715278</x:v>
      </x:c>
      <x:c r="C7" s="29" t="str">
        <x:v>A/B base</x:v>
      </x:c>
      <x:c r="D7" s="29" t="str">
        <x:v>claude</x:v>
      </x:c>
      <x:c r="E7" s="29" t="str">
        <x:v>B</x:v>
      </x:c>
      <x:c r="F7" s="29" t="n">
        <x:v>2</x:v>
      </x:c>
      <x:c r="G7" s="29" t="n">
        <x:v>200</x:v>
      </x:c>
      <x:c r="H7" s="29" t="str">
        <x:v>anthropic/claude-sonnet-4.6</x:v>
      </x:c>
      <x:c r="I7" s="29" t="str">
        <x:v>anthropic</x:v>
      </x:c>
      <x:c r="J7" s="29" t="str">
        <x:v>anthropic/claude-sonnet-4.6</x:v>
      </x:c>
      <x:c r="K7" s="29" t="str">
        <x:v>Anthropic</x:v>
      </x:c>
      <x:c r="L7" s="29" t="str">
        <x:v>gen-1786659464-E7aWyqzgDYmEDl1RZH77</x:v>
      </x:c>
      <x:c r="M7" s="29" t="n">
        <x:v>161</x:v>
      </x:c>
      <x:c r="N7" s="29" t="n">
        <x:v>548</x:v>
      </x:c>
      <x:c r="O7" s="29" t="n">
        <x:v>709</x:v>
      </x:c>
      <x:c r="P7" s="31" t="n">
        <x:v>0.008703</x:v>
      </x:c>
      <x:c r="Q7" s="32" t="str">
        <x:v>## Method: Dijkstra's Algorithm
I'll systematically find shortest paths from S to T.
---
### Step-by-Step Dijkstra's
**Initial state:**
- dist(S) = 0, all others = ∞
- Unvisited: {S, A, B, C, D, T}
**Process S** (dist = 0):
- S → A: 0 + 1 = 1 → dist(A) = 1
- S → B: 0 + 2 = 2 → dist(B) = 2
**Process A** (dist = 1, smallest unvisited):
- A → D: 1 + 3 = 4 → dist(D) = 4
- A → T: 1 + 5 = 6 → dist(T) = 6
**Process B** (dist = 2):
- B → C: 2 + 2 = 4 → dist(C) = 4
**Process D** (dist = 4, tied with C; process either):
- D → T: 4 + 3 = 7 → dist(T) remains 6
**Process C** (dist = 4):
- C → T: 4 + 2 = 6 → dist(T) = 6 (ties current value — **second minimum path found**)
**Process T** (dist = 6): done.
---
### Enumerate All Paths Achieving dist(T) = 6
| Path | Calculation | Total Weight | Edges |
|------|-------------|--------------|-------|
| S → A → T | 1 + 5 | **6** | 2 |
| S → B → C → T | 2 + 2 + 2 | **6** | 3 |
Other paths:
- S → A → D → T: 1 + 3 + 3 = **7** ❌
---
### Result
There are **two** distinct minimum-weight paths, each with total weight **6**:
1. **S → A → T** | Total weight: 6 | Edges: 2
2. **S → B → C → T** | Total weight: 6 | Edges: 3</x:v>
      </x:c>
    </x:row>
    <x:row r="8" ht="48" customHeight="1">
      <x:c r="A8" s="29" t="str">
        <x:v>claude_A02</x:v>
      </x:c>
      <x:c r="B8" s="30" t="n">
        <x:v>46247.929084247684</x:v>
      </x:c>
      <x:c r="C8" s="29" t="str">
        <x:v>A/B base</x:v>
      </x:c>
      <x:c r="D8" s="29" t="str">
        <x:v>claude</x:v>
      </x:c>
      <x:c r="E8" s="29" t="str">
        <x:v>A</x:v>
      </x:c>
      <x:c r="F8" s="29" t="n">
        <x:v>2</x:v>
      </x:c>
      <x:c r="G8" s="29" t="n">
        <x:v>200</x:v>
      </x:c>
      <x:c r="H8" s="29" t="str">
        <x:v>anthropic/claude-sonnet-4.6</x:v>
      </x:c>
      <x:c r="I8" s="29" t="str">
        <x:v>anthropic</x:v>
      </x:c>
      <x:c r="J8" s="29" t="str">
        <x:v>anthropic/claude-sonnet-4.6</x:v>
      </x:c>
      <x:c r="K8" s="29" t="str">
        <x:v>Anthropic</x:v>
      </x:c>
      <x:c r="L8" s="29" t="str">
        <x:v>gen-1786659473-Fw8yggk0Jdl0ZYAkoPLq</x:v>
      </x:c>
      <x:c r="M8" s="29" t="n">
        <x:v>161</x:v>
      </x:c>
      <x:c r="N8" s="29" t="n">
        <x:v>561</x:v>
      </x:c>
      <x:c r="O8" s="29" t="n">
        <x:v>722</x:v>
      </x:c>
      <x:c r="P8" s="31" t="n">
        <x:v>0.008898</x:v>
      </x:c>
      <x:c r="Q8" s="32" t="str">
        <x:v>## Method: Dijkstra's Algorithm
I'll systematically find shortest paths from S to T.
---
## Enumerate All S→T Paths
First, let me list every possible path:
| Path | Edges | Total Weight |
|------|-------|-------------|
| S → A → T | 2 | 1+6 = **7** |
| S → A → D → T | 3 | 1+2+3 = **6** |
| S → B → C → T | 3 | 2+2+2 = **6** |
*(No other paths exist given the edge list.)*
---
## Dijkstra's Verification
| Step | Visited | dist[S] | dist[A] | dist[B] | dist[C] | dist[D] | dist[T] |
|------|---------|---------|---------|---------|---------|---------|---------|
| Init | — | 0 | ∞ | ∞ | ∞ | ∞ | ∞ |
| Visit S | {S} | 0 | **1** | **2** | ∞ | ∞ | ∞ |
| Visit A | {S,A} | 0 | 1 | 2 | ∞ | **3** | **7** |
| Visit B | {S,A,B} | 0 | 1 | 2 | **4** | 3 | 7 |
| Visit D | {S,A,B,D} | 0 | 1 | 2 | 4 | 3 | **6** |
| Visit C | {S,A,B,D,C} | 0 | 1 | 2 | 4 | 3 | **6** (tie: 4+2=6, no improvement) |
| Visit T | done | | | | | | **6** |
The minimum distance to T is **6**, achieved by **two distinct paths**.
---
## Result
| Path | Node Sequence | Total Weight | # Edges |
|------|--------------|-------------|---------|
| 1 | S → A → D → T | **6** | 3 |
| 2 | S → B → C → T | **6** | 3 |</x:v>
      </x:c>
    </x:row>
    <x:row r="9" ht="48" customHeight="1">
      <x:c r="A9" s="29" t="str">
        <x:v>claude_B03</x:v>
      </x:c>
      <x:c r="B9" s="30" t="n">
        <x:v>46247.92919925926</x:v>
      </x:c>
      <x:c r="C9" s="29" t="str">
        <x:v>A/B base</x:v>
      </x:c>
      <x:c r="D9" s="29" t="str">
        <x:v>claude</x:v>
      </x:c>
      <x:c r="E9" s="29" t="str">
        <x:v>B</x:v>
      </x:c>
      <x:c r="F9" s="29" t="n">
        <x:v>3</x:v>
      </x:c>
      <x:c r="G9" s="29" t="n">
        <x:v>200</x:v>
      </x:c>
      <x:c r="H9" s="29" t="str">
        <x:v>anthropic/claude-sonnet-4.6</x:v>
      </x:c>
      <x:c r="I9" s="29" t="str">
        <x:v>anthropic</x:v>
      </x:c>
      <x:c r="J9" s="29" t="str">
        <x:v>anthropic/claude-sonnet-4.6</x:v>
      </x:c>
      <x:c r="K9" s="29" t="str">
        <x:v>Anthropic</x:v>
      </x:c>
      <x:c r="L9" s="29" t="str">
        <x:v>gen-1786659483-3NwxxWqDGALysRBSoKUh</x:v>
      </x:c>
      <x:c r="M9" s="29" t="n">
        <x:v>161</x:v>
      </x:c>
      <x:c r="N9" s="29" t="n">
        <x:v>592</x:v>
      </x:c>
      <x:c r="O9" s="29" t="n">
        <x:v>753</x:v>
      </x:c>
      <x:c r="P9" s="31" t="n">
        <x:v>0.009363</x:v>
      </x:c>
      <x:c r="Q9" s="32" t="str">
        <x:v>## Method: Dijkstra's Algorithm
I'll systematically find shortest paths from S to T by tracking distances and predecessors.
---
## Enumerate All S→T Paths
First, let me list every possible path and its total weight:
| Path | Edges | Total Weight |
|------|-------|--------------|
| S → A → T | 1+5 | **6** |
| S → A → D → T | 1+3+3 | **7** |
| S → B → C → T | 2+2+2 | **6** |
*(No other paths exist given the listed edges.)*
---
## Dijkstra's Verification
| Step | Visited | dist[S] | dist[A] | dist[B] | dist[C] | dist[D] | dist[T] |
|------|---------|---------|---------|---------|---------|---------|---------|
| Init | — | 0 | ∞ | ∞ | ∞ | ∞ | ∞ |
| Visit S | {S} | 0 | 1 | 2 | ∞ | ∞ | ∞ |
| Visit A | {S,A} | 0 | 1 | 2 | ∞ | 4 | 6 |
| Visit B | {S,A,B} | 0 | 1 | 2 | 4 | 4 | 6 |
| Visit C | {S,A,B,C} | 0 | 1 | 2 | 4 | 4 | **6** |
| Visit D | {S,A,B,C,D} | 0 | 1 | 2 | 4 | 4 | **6** (7 rejected) |
| Visit T | done | — | — | — | — | — | **6** |
When visiting D: candidate dist[T] via D = 4+3 = 7 &gt; 6, so not updated.
---
## Results
**Minimum total weight: 6**
| # | Node Sequence | Total Weight | Number of Edges |
|---|--------------|-------------|-----------------|
| 1 | S → A → T | 6 | 2 |
| 2 | S → B → C → T | 6 | 3 |
These are **all** minimum-weight paths from S to T.</x:v>
      </x:c>
    </x:row>
    <x:row r="10" ht="48" customHeight="1">
      <x:c r="A10" s="29" t="str">
        <x:v>claude_A03</x:v>
      </x:c>
      <x:c r="B10" s="30" t="n">
        <x:v>46247.92932358796</x:v>
      </x:c>
      <x:c r="C10" s="29" t="str">
        <x:v>A/B base</x:v>
      </x:c>
      <x:c r="D10" s="29" t="str">
        <x:v>claude</x:v>
      </x:c>
      <x:c r="E10" s="29" t="str">
        <x:v>A</x:v>
      </x:c>
      <x:c r="F10" s="29" t="n">
        <x:v>3</x:v>
      </x:c>
      <x:c r="G10" s="29" t="n">
        <x:v>200</x:v>
      </x:c>
      <x:c r="H10" s="29" t="str">
        <x:v>anthropic/claude-sonnet-4.6</x:v>
      </x:c>
      <x:c r="I10" s="29" t="str">
        <x:v>anthropic</x:v>
      </x:c>
      <x:c r="J10" s="29" t="str">
        <x:v>anthropic/claude-sonnet-4.6</x:v>
      </x:c>
      <x:c r="K10" s="29" t="str">
        <x:v>Anthropic</x:v>
      </x:c>
      <x:c r="L10" s="29" t="str">
        <x:v>gen-1786659494-fUHaf0GV0YPfrvZv3uvr</x:v>
      </x:c>
      <x:c r="M10" s="29" t="n">
        <x:v>161</x:v>
      </x:c>
      <x:c r="N10" s="29" t="n">
        <x:v>1048</x:v>
      </x:c>
      <x:c r="O10" s="29" t="n">
        <x:v>1209</x:v>
      </x:c>
      <x:c r="P10" s="31" t="n">
        <x:v>0.016203</x:v>
      </x:c>
      <x:c r="Q10" s="32" t="str">
        <x:v># Shortest Paths from S to T
## Method: Dijkstra's Algorithm
I'll systematically find shortest distances from S to every node, then trace back all minimum-weight paths.
---
## Dijkstra's Algorithm Execution
**Initialization:**
- dist(S) = 0, all others = ∞
- Unvisited: {S, A, B, C, D, T}
**Step 1 – Process S** (dist = 0):
- S → A: 0 + 1 = **1** → dist(A) = 1
- S → B: 0 + 2 = **2** → dist(B) = 2
| Node | S | A | B | C | D | T |
|------|---|---|---|---|---|---|
| dist | 0 | 1 | 2 | ∞ | ∞ | ∞ |
**Step 2 – Process A** (dist = 1, smallest unvisited):
- A → D: 1 + 2 = **3** → dist(D) = 3
- A → T: 1 + 6 = **7** → dist(T) = 7
| Node | B | C | D | T |
|------|---|---|---|---|
| dist | 2 | ∞ | 3 | 7 |
**Step 3 – Process B** (dist = 2):
- B → C: 2 + 2 = **4** → dist(C) = 4
| Node | C | D | T |
|------|---|---|---|
| dist | 4 | 3 | 7 |
**Step 4 – Process D** (dist = 3):
- D → T: 3 + 3 = **6** → dist(T) = 6 ✓ (update from 7)
| Node | C | T |
|------|---|---|
| dist | 4 | 6 |
**Step 5 – Process C** (dist = 4):
- C → T: 4 + 2 = **6** → dist(T) = 6 (tie! no change in value)
| Node | T |
|------|---|
| dist | 6 |
**Step 6 – Process T** (dist = 6): done.
---
## Tracing All Minimum-Weight Paths to T (dist = 6)
Work backwards from T, asking: which predecessors p satisfy dist(p) + w(p→T) = 6?
- **D → T** (weight 3): dist(D) = 3 → 3 + 3 = 6 ✓
- **C → T** (weight 2): dist(C) = 4 → 4 + 2 = 6 ✓
- **A → T** (weight 6): dist(A) = 1 → 1 + 6 = 7 ✗
**Tracing back to D:** predecessors p with dist(p) + w(p→D) = 3?
- A → D (weight 2): dist(A) = 1 → 1 + 2 = 3 ✓
  - Tracing back to A: S → A (weight 1): dist(S) = 0 → 0 + 1 = 1 ✓ → **Path: S → A → D → T**
**Tracing back to C:** predecessors p with dist(p) + w(p→C) = 4?
- B → C (weight 2): dist(B) = 2 → 2 + 2 = 4 ✓
  - Tracing back to B: S → B (weight 2): dist(S) = 0 → 0 + 2 = 2 ✓ → **Path: S → B → C → T**
---
## Results
| Path | Node Sequence | Total Weight | Edges |
|------|--------------|-------------|-------|
| 1 | S → A → D → T | **6** | 3 |
| 2 | S → B → C → T | **6** | 3 |
Both paths are the **only** minimum-weight paths with total weight **6**.</x:v>
      </x:c>
    </x:row>
    <x:row r="11" ht="48" customHeight="1">
      <x:c r="A11" s="29" t="str">
        <x:v>claude_A04</x:v>
      </x:c>
      <x:c r="B11" s="30" t="n">
        <x:v>46247.92949850694</x:v>
      </x:c>
      <x:c r="C11" s="29" t="str">
        <x:v>A/B base</x:v>
      </x:c>
      <x:c r="D11" s="29" t="str">
        <x:v>claude</x:v>
      </x:c>
      <x:c r="E11" s="29" t="str">
        <x:v>A</x:v>
      </x:c>
      <x:c r="F11" s="29" t="n">
        <x:v>4</x:v>
      </x:c>
      <x:c r="G11" s="29" t="n">
        <x:v>200</x:v>
      </x:c>
      <x:c r="H11" s="29" t="str">
        <x:v>anthropic/claude-sonnet-4.6</x:v>
      </x:c>
      <x:c r="I11" s="29" t="str">
        <x:v>anthropic</x:v>
      </x:c>
      <x:c r="J11" s="29" t="str">
        <x:v>anthropic/claude-sonnet-4.6</x:v>
      </x:c>
      <x:c r="K11" s="29" t="str">
        <x:v>Anthropic</x:v>
      </x:c>
      <x:c r="L11" s="29" t="str">
        <x:v>gen-1786659509-FnQ4kQxXYiGyBUyb03RH</x:v>
      </x:c>
      <x:c r="M11" s="29" t="n">
        <x:v>161</x:v>
      </x:c>
      <x:c r="N11" s="29" t="n">
        <x:v>496</x:v>
      </x:c>
      <x:c r="O11" s="29" t="n">
        <x:v>657</x:v>
      </x:c>
      <x:c r="P11" s="31" t="n">
        <x:v>0.007923</x:v>
      </x:c>
      <x:c r="Q11" s="32" t="str">
        <x:v>## Method: Dijkstra's Algorithm
I'll systematically find shortest paths from S to T.
---
### Step-by-Step Dijkstra's
**Initialization:**
- dist(S) = 0, all others = ∞
**Process S** (dist = 0):
- S → A: dist(A) = 0 + 1 = **1**
- S → B: dist(B) = 0 + 2 = **2**
**Process A** (dist = 1, lowest unvisited):
- A → D: dist(D) = 1 + 2 = **3**
- A → T: dist(T) = 1 + 6 = **7**
**Process B** (dist = 2):
- B → C: dist(C) = 2 + 2 = **4**
**Process D** (dist = 3):
- D → T: dist(T) = 3 + 3 = **6** ← improves from 7
**Process C** (dist = 4):
- C → T: dist(T) = 4 + 2 = **6** ← ties current best
**Process T** (dist = 6): done.
---
### Identifying All Minimum Paths
Both paths achieve dist(T) = **6**. Tracing back:
| Path | Node Sequence | Total Weight | # Edges |
|------|--------------|-------------|---------|
| 1 | S → A → D → T | 1 + 2 + 3 = **6** | 3 |
| 2 | S → B → C → T | 2 + 2 + 2 = **6** | 3 |
---
### Result
There are **two** distinct minimum-weight paths, each with total weight **6** and **3 edges**:
1. **S → A → D → T** (weight 6, 3 edges)
2. **S → B → C → T** (weight 6, 3 edges)</x:v>
      </x:c>
    </x:row>
    <x:row r="12" ht="48" customHeight="1">
      <x:c r="A12" s="29" t="str">
        <x:v>claude_B04</x:v>
      </x:c>
      <x:c r="B12" s="30" t="n">
        <x:v>46247.9295996875</x:v>
      </x:c>
      <x:c r="C12" s="29" t="str">
        <x:v>A/B base</x:v>
      </x:c>
      <x:c r="D12" s="29" t="str">
        <x:v>claude</x:v>
      </x:c>
      <x:c r="E12" s="29" t="str">
        <x:v>B</x:v>
      </x:c>
      <x:c r="F12" s="29" t="n">
        <x:v>4</x:v>
      </x:c>
      <x:c r="G12" s="29" t="n">
        <x:v>200</x:v>
      </x:c>
      <x:c r="H12" s="29" t="str">
        <x:v>anthropic/claude-sonnet-4.6</x:v>
      </x:c>
      <x:c r="I12" s="29" t="str">
        <x:v>anthropic</x:v>
      </x:c>
      <x:c r="J12" s="29" t="str">
        <x:v>anthropic/claude-sonnet-4.6</x:v>
      </x:c>
      <x:c r="K12" s="29" t="str">
        <x:v>Anthropic</x:v>
      </x:c>
      <x:c r="L12" s="29" t="str">
        <x:v>gen-1786659518-B62FvqTGmg0mNbZ6R1O4</x:v>
      </x:c>
      <x:c r="M12" s="29" t="n">
        <x:v>161</x:v>
      </x:c>
      <x:c r="N12" s="29" t="n">
        <x:v>720</x:v>
      </x:c>
      <x:c r="O12" s="29" t="n">
        <x:v>881</x:v>
      </x:c>
      <x:c r="P12" s="31" t="n">
        <x:v>0.011283</x:v>
      </x:c>
      <x:c r="Q12" s="32" t="str">
        <x:v># Shortest Paths from S to T
## Method: Dijkstra's Algorithm
I'll track (current best distance, previous node) for each node.
---
## Dijkstra's Execution
**Initial state:**
- dist: S=0, A=∞, B=∞, C=∞, D=∞, T=∞
- Priority queue: {(0, S)}
---
**Process S (dist=0):**
- S→A: 0+1=1 → dist[A]=1
- S→B: 0+2=2 → dist[B]=2
- Queue: {(1,A), (2,B)}
---
**Process A (dist=1):**
- A→D: 1+3=4 → dist[D]=4
- A→T: 1+5=6 → dist[T]=6
- Queue: {(2,B), (4,D), (6,T)}
---
**Process B (dist=2):**
- B→C: 2+2=4 → dist[C]=4
- Queue: {(4,D), (4,C), (6,T)}
---
**Process D (dist=4):**
- D→T: 4+3=7 → 7 &gt; dist[T]=6, no update
- Queue: {(4,C), (6,T)}
---
**Process C (dist=4):**
- C→T: 4+2=6 → 6 = dist[T]=6, **tie!** (record this path too)
- Queue: {(6,T), (6,T)}
---
**Process T (dist=6):** done.
---
## All Minimum-Weight Paths (weight = 6)
### Path 1: S → A → T
| Segment | Weight |
|---------|--------|
| S→A | 1 |
| A→T | 5 |
| **Total** | **6** |
- **Node sequence:** S, A, T
- **Total weight:** 6
- **Number of edges:** 2
---
### Path 2: S → B → C → T
| Segment | Weight |
|---------|--------|
| S→B | 2 |
| B→C | 2 |
| C→T | 2 |
| **Total** | **6** |
- **Node sequence:** S, B, C, T
- **Total weight:** 6
- **Number of edges:** 3
---
## Summary
| Path | Sequence | Total Weight | # Edges |
|------|----------|-------------|---------|
| 1 | S→A→T | 6 | 2 |
| 2 | S→B→C→T | 6 | 3 |
These are the **only two minimum-weight paths**. The path S→A→D→T has total weight 1+3+3=**7**, which is suboptimal.</x:v>
      </x:c>
    </x:row>
    <x:row r="13" ht="48" customHeight="1">
      <x:c r="A13" s="29" t="str">
        <x:v>claude_A05</x:v>
      </x:c>
      <x:c r="B13" s="30" t="n">
        <x:v>46247.929729166666</x:v>
      </x:c>
      <x:c r="C13" s="29" t="str">
        <x:v>A/B base</x:v>
      </x:c>
      <x:c r="D13" s="29" t="str">
        <x:v>claude</x:v>
      </x:c>
      <x:c r="E13" s="29" t="str">
        <x:v>A</x:v>
      </x:c>
      <x:c r="F13" s="29" t="n">
        <x:v>5</x:v>
      </x:c>
      <x:c r="G13" s="29" t="n">
        <x:v>200</x:v>
      </x:c>
      <x:c r="H13" s="29" t="str">
        <x:v>anthropic/claude-sonnet-4.6</x:v>
      </x:c>
      <x:c r="I13" s="29" t="str">
        <x:v>anthropic</x:v>
      </x:c>
      <x:c r="J13" s="29" t="str">
        <x:v>anthropic/claude-sonnet-4.6</x:v>
      </x:c>
      <x:c r="K13" s="29" t="str">
        <x:v>Anthropic</x:v>
      </x:c>
      <x:c r="L13" s="29" t="str">
        <x:v>gen-1786659529-DdcbhZU8JCVnwIcJWd5N</x:v>
      </x:c>
      <x:c r="M13" s="29" t="n">
        <x:v>161</x:v>
      </x:c>
      <x:c r="N13" s="29" t="n">
        <x:v>644</x:v>
      </x:c>
      <x:c r="O13" s="29" t="n">
        <x:v>805</x:v>
      </x:c>
      <x:c r="P13" s="31" t="n">
        <x:v>0.010143</x:v>
      </x:c>
      <x:c r="Q13" s="32" t="str">
        <x:v>## Method: Dijkstra's Algorithm
I'll systematically find shortest paths from S to T.
### Step 1: Enumerate all possible S→T paths
**Path 1:** S → A → D → T
Weight: 1 + 2 + 3 = **6**
**Path 2:** S → A → T
Weight: 1 + 6 = **7**
**Path 3:** S → B → C → T
Weight: 2 + 2 + 2 = **6**
### Step 2: Dijkstra's Verification
| Step | Visited | dist[S] | dist[A] | dist[B] | dist[C] | dist[D] | dist[T] |
|------|---------|---------|---------|---------|---------|---------|---------|
| Init | — | 0 | ∞ | ∞ | ∞ | ∞ | ∞ |
| Visit S | {S} | 0 | 1 | 2 | ∞ | ∞ | ∞ |
| Visit A | {S,A} | 0 | 1 | 2 | ∞ | 3 | 7 |
| Visit B | {S,A,B} | 0 | 1 | 2 | 4 | 3 | 7 |
| Visit D | {S,A,B,D} | 0 | 1 | 2 | 4 | 3 | **6** |
| Visit C | {S,A,B,D,C} | 0 | 1 | 2 | 4 | 3 | **6** (tie: 4+2=6) |
| Visit T | {…,T} | 0 | 1 | 2 | 4 | 3 | **6** |
At the point T is finalized at distance **6**, two predecessors achieve it:
- **D** (dist 3 + edge 3 = 6)
- **C** (dist 4 + edge 2 = 6)
### Result: Two Minimum-Weight Paths
| Path | Node Sequence | Total Weight | # Edges |
|------|---------------|-------------|---------|
| 1 | **S → A → D → T** | **6** | 3 |
| 2 | **S → B → C → T** | **6** | 3 |
Both paths have total weight **6**, which is the minimum. Path 2 (S→A→T, weight 7) is strictly heavier and is not a minimum path.</x:v>
      </x:c>
    </x:row>
    <x:row r="14" ht="48" customHeight="1">
      <x:c r="A14" s="29" t="str">
        <x:v>claude_B05</x:v>
      </x:c>
      <x:c r="B14" s="30" t="n">
        <x:v>46247.929858587966</x:v>
      </x:c>
      <x:c r="C14" s="29" t="str">
        <x:v>A/B base</x:v>
      </x:c>
      <x:c r="D14" s="29" t="str">
        <x:v>claude</x:v>
      </x:c>
      <x:c r="E14" s="29" t="str">
        <x:v>B</x:v>
      </x:c>
      <x:c r="F14" s="29" t="n">
        <x:v>5</x:v>
      </x:c>
      <x:c r="G14" s="29" t="n">
        <x:v>200</x:v>
      </x:c>
      <x:c r="H14" s="29" t="str">
        <x:v>anthropic/claude-sonnet-4.6</x:v>
      </x:c>
      <x:c r="I14" s="29" t="str">
        <x:v>anthropic</x:v>
      </x:c>
      <x:c r="J14" s="29" t="str">
        <x:v>anthropic/claude-sonnet-4.6</x:v>
      </x:c>
      <x:c r="K14" s="29" t="str">
        <x:v>Anthropic</x:v>
      </x:c>
      <x:c r="L14" s="29" t="str">
        <x:v>gen-1786659540-aUm3AwvEg59fF2lJyRfC</x:v>
      </x:c>
      <x:c r="M14" s="29" t="n">
        <x:v>161</x:v>
      </x:c>
      <x:c r="N14" s="29" t="n">
        <x:v>610</x:v>
      </x:c>
      <x:c r="O14" s="29" t="n">
        <x:v>771</x:v>
      </x:c>
      <x:c r="P14" s="31" t="n">
        <x:v>0.009633</x:v>
      </x:c>
      <x:c r="Q14" s="32" t="str">
        <x:v>## Method: Dijkstra's Algorithm
I'll systematically find shortest paths from S to T.
---
## Enumerating All S→T Paths
First, let me list every possible path:
| Path | Edges | Total Weight |
|------|-------|-------------|
| S → A → T | 2 | 1+5 = **6** |
| S → A → D → T | 3 | 1+3+3 = **7** |
| S → B → C → T | 3 | 2+2+2 = **6** |
*(No other paths exist given the edge list.)*
---
## Dijkstra's Verification
| Step | Visited | dist[S] | dist[A] | dist[B] | dist[C] | dist[D] | dist[T] |
|------|---------|---------|---------|---------|---------|---------|---------|
| Init | — | 0 | ∞ | ∞ | ∞ | ∞ | ∞ |
| Visit S | {S} | 0 | 1 | 2 | ∞ | ∞ | ∞ |
| Visit A | {S,A} | 0 | 1 | 2 | ∞ | 4 | 6 |
| Visit B | {S,A,B} | 0 | 1 | 2 | 4 | 4 | 6 |
| Visit C | {S,A,B,C} | 0 | 1 | 2 | 4 | 4 | **6** |
| Visit D | {S,A,B,C,D} | 0 | 1 | 2 | 4 | 4 | **6** (7 rejected) |
| Visit T | done | | | | | | **6** |
When D is processed, D→T would give 4+3 = 7 &gt; 6, so T's distance remains 6.
---
## Result: Minimum Total Weight = 6
There are **two** minimum-weight paths:
### Path 1
- **Node sequence:** S → A → T
- **Total weight:** 1 + 5 = **6**
- **Number of edges:** 2
### Path 2
- **Node sequence:** S → B → C → T
- **Total weight:** 2 + 2 + 2 = **6**
- **Number of edges:** 3</x:v>
      </x:c>
    </x:row>
    <x:row r="15" ht="48" customHeight="1">
      <x:c r="A15" s="29" t="str">
        <x:v>mistral_A01</x:v>
      </x:c>
      <x:c r="B15" s="30" t="n">
        <x:v>46247.92998112269</x:v>
      </x:c>
      <x:c r="C15" s="29" t="str">
        <x:v>A/B base</x:v>
      </x:c>
      <x:c r="D15" s="29" t="str">
        <x:v>mistral</x:v>
      </x:c>
      <x:c r="E15" s="29" t="str">
        <x:v>A</x:v>
      </x:c>
      <x:c r="F15" s="29" t="n">
        <x:v>1</x:v>
      </x:c>
      <x:c r="G15" s="29" t="n">
        <x:v>200</x:v>
      </x:c>
      <x:c r="H15" s="29" t="str">
        <x:v>mistralai/mistral-large-2512</x:v>
      </x:c>
      <x:c r="I15" s="29" t="str">
        <x:v>mistral</x:v>
      </x:c>
      <x:c r="J15" s="29" t="str">
        <x:v>mistralai/mistral-large-2512</x:v>
      </x:c>
      <x:c r="K15" s="29" t="str">
        <x:v>Mistral</x:v>
      </x:c>
      <x:c r="L15" s="29" t="str">
        <x:v>gen-1786659551-Hj1AjDtOeBWiAowk43Fg</x:v>
      </x:c>
      <x:c r="M15" s="29" t="n">
        <x:v>148</x:v>
      </x:c>
      <x:c r="N15" s="29" t="n">
        <x:v>1081</x:v>
      </x:c>
      <x:c r="O15" s="29" t="n">
        <x:v>1229</x:v>
      </x:c>
      <x:c r="P15" s="31" t="n">
        <x:v>0.0016955</x:v>
      </x:c>
      <x:c r="Q15" s="32" t="str">
        <x:v>### Understanding the Problem
We are given a directed, weighted graph with the following edges:
- S → A: 1
- A → D: 2
- D → T: 3
- A → T: 6
- S → B: 2
- B → C: 2
- C → T: 2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approach that keeps track of the shortest paths. Here's the general method:
1. **List All Possible Paths**: Enumerate all possible paths from `S` to `T` by following the directed edges.
2. **Calculate Path Weights**: For each path, sum the weights of its edges to get the total weight.
3. **Identify Minimum Weight**: Determine the smallest total weight among all paths.
4. **Select Paths with Minimum Weight**: Collect all paths that have this minimum total weight.
Given the small size of the graph, enumerating all paths is feasible.
### Enumerating All Paths from S to T
Let's list all possible paths from `S` to `T`:
1. **Path 1**: S → A → D → T
   - Sequence: S, A, D, T
   - Edges: S→A, A→D, D→T
   - Weights: 1, 2, 3
   - Total weight: 1 + 2 + 3 = 6
   - Number of edges: 3
2. **Path 2**: S → A → T
   - Sequence: S, A, T
   - Edges: S→A, A→T
   - Weights: 1, 6
   - Total weight: 1 + 6 = 7
   - Number of edges: 2
3. **Path 3**: S → B → C → T
   - Sequence: S, B, C, T
   - Edges: S→B, B→C, C→T
   - Weights: 2, 2, 2
   - Total weight: 2 + 2 + 2 = 6
   - Number of edges: 3
Are there any other paths? Let's check:
- From S, we can go to A or B.
  - From A, we can go to D or T.
    - From D, we can only go to T.
  - From B, we can only go to C.
    - From C, we can only go to T.
So, the above three paths cover all possible routes from `S` to `T`.
### Calculating Total Weights
From the enumeration:
- Path 1: S → A → D → T: weight = 6
- Path 2: S → A → T: weight = 7
- Path 3: S → B → C → T: weight = 6
### Identifying Minimum Weight Paths
The weights are 6, 7, and 6. The minimum weight is 6.
Paths with weight 6:
1. S → A → D → T
2. S → B → C → T
### Verifying No Other Paths Exist
Let's ensure we haven't missed any paths:
- Starting at S:
  - S → A:
    - A → D → T
    - A → T
  - S → B:
    - B → C → T
No other edges originate from these nodes, so no other paths exist.
### Final Answer
There are **two** distinct minimum-total-weight paths from `S` to `T`, each with a total weight of **6**:
1. **Path 1**:
   - Node sequence: S, A, D, T
   - Total weight: 6
   - Number of edges: 3
2. **Path 2**:
   - Node sequence: S, B, C, T
   - Total weight: 6
   - Number of edges: 3
### Explanation of Method
1. **Path Enumeration**: We systematically explored all possible paths from `S` to `T` by following the directed edges. This is feasible for small graphs.
2. **Weight Calculation**: For each path, we summed the weights of its edges to determine the total weight.
3. **Minimum Identification**: By comparing the total weights, we identified the smallest weight (6 in this case).
4. **Selection of Paths**: We collected all paths that achieved this minimum weight.
This method ensures that we find all possible minimum-weight paths without missing any, provided we correctly enumerate all possible paths in the graph.</x:v>
      </x:c>
    </x:row>
    <x:row r="16" ht="48" customHeight="1">
      <x:c r="A16" s="29" t="str">
        <x:v>mistral_B01</x:v>
      </x:c>
      <x:c r="B16" s="30" t="n">
        <x:v>46247.93013853009</x:v>
      </x:c>
      <x:c r="C16" s="29" t="str">
        <x:v>A/B base</x:v>
      </x:c>
      <x:c r="D16" s="29" t="str">
        <x:v>mistral</x:v>
      </x:c>
      <x:c r="E16" s="29" t="str">
        <x:v>B</x:v>
      </x:c>
      <x:c r="F16" s="29" t="n">
        <x:v>1</x:v>
      </x:c>
      <x:c r="G16" s="29" t="n">
        <x:v>200</x:v>
      </x:c>
      <x:c r="H16" s="29" t="str">
        <x:v>mistralai/mistral-large-2512</x:v>
      </x:c>
      <x:c r="I16" s="29" t="str">
        <x:v>mistral</x:v>
      </x:c>
      <x:c r="J16" s="29" t="str">
        <x:v>mistralai/mistral-large-2512</x:v>
      </x:c>
      <x:c r="K16" s="29" t="str">
        <x:v>Mistral</x:v>
      </x:c>
      <x:c r="L16" s="29" t="str">
        <x:v>gen-1786659564-nPqHzx3F7e8XITlqp7MQ</x:v>
      </x:c>
      <x:c r="M16" s="29" t="n">
        <x:v>148</x:v>
      </x:c>
      <x:c r="N16" s="29" t="n">
        <x:v>2069</x:v>
      </x:c>
      <x:c r="O16" s="29" t="n">
        <x:v>2217</x:v>
      </x:c>
      <x:c r="P16" s="31" t="n">
        <x:v>0.0031775</x:v>
      </x:c>
      <x:c r="Q16" s="32" t="str">
        <x:v>### Understanding the Problem
We are given a directed, weighted graph with the following edges:
- S → A: weight 1
- A → D: weight 3
- D → T: weight 3
- A → T: weight 5
- S → B: weight 2
- B → C: weight 2
- C → T: weight 2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version of Dijkstra's algorithm, which is typically used to find the shortest path in a graph with non-negative edge weights. Here's how we'll proceed:
1. **Initialize**: Start by assigning a tentative distance to `T` from `S` as infinity (or a very large number) and the distance to `S` itself as 0. Also, keep track of the number of edges and the paths themselves.
2. **Priority Queue**: Use a priority queue (min-heap) to explore nodes in order of increasing distance from `S`. This helps in always expanding the least costly path first.
3. **Relaxation**: For each node, relax all its outgoing edges. Relaxation means checking if the path to a neighboring node can be shortened by going through the current node. If so, update the distance, path, and number of edges.
4. **Tracking Paths**: Since we need all minimum-weight paths, whenever we find a path to `T` with a certain weight, we note that weight. If we later find another path to `T` with the same weight, we add it to our list of minimum paths. If we find a path with a smaller weight, we discard all previously found paths and start a new list with this smaller weight.
5. **Termination**: The algorithm terminates when the priority queue is empty, meaning all possible paths have been explored up to the minimum weight found.
### Applying the Approach to the Given Graph
Let's apply this step-by-step to our graph.
**Initialization:**
- Distance to `S`: 0, Path: [S], Edges: 0
- Distance to all other nodes: ∞
- Priority queue: [(0, S, [S], 0)]
**Processing:**
1. **Dequeue (0, S, [S], 0):**
   - Explore neighbors of `S`: `A` and `B`.
     - `S → A`: weight 1
       - New distance to `A`: 0 + 1 = 1
       - New path: [S, A]
       - New edges: 1
       - Enqueue: (1, A, [S, A], 1)
     - `S → B`: weight 2
       - New distance to `B`: 0 + 2 = 2
       - New path: [S, B]
       - New edges: 1
       - Enqueue: (2, B, [S, B], 1)
   - Priority queue: [(1, A, [S, A], 1), (2, B, [S, B], 1)]
2. **Dequeue (1, A, [S, A], 1):**
   - Explore neighbors of `A`: `D` and `T`.
     - `A → D`: weight 3
       - New distance to `D`: 1 + 3 = 4
       - New path: [S, A, D]
       - New edges: 2
       - Enqueue: (4, D, [S, A, D], 2)
     - `A → T`: weight 5
       - New distance to `T`: 1 + 5 = 6
       - New path: [S, A, T]
       - New edges: 2
       - Enqueue: (6, T, [S, A, T], 2)
   - Priority queue: [(2, B, [S, B], 1), (4, D, [S, A, D], 2), (6, T, [S, A, T], 2)]
3. **Dequeue (2, B, [S, B], 1):**
   - Explore neighbors of `B`: `C`.
     - `B → C`: weight 2
       - New distance to `C`: 2 + 2 = 4
       - New path: [S, B, C]
       - New edges: 2
       - Enqueue: (4, C, [S, B, C], 2)
   - Priority queue: [(4, D, [S, A, D], 2), (4, C, [S, B, C], 2), (6, T, [S, A, T], 2)]
4. **Dequeue (4, D, [S, A, D], 2):**
   - Explore neighbors of `D`: `T`.
     - `D → T`: weight 3
       - New distance to `T`: 4 + 3 = 7
       - New path: [S, A, D, T]
       - New edges: 3
       - Enqueue: (7, T, [S, A, D, T], 3)
   - Priority queue: [(4, C, [S, B, C], 2), (6, T, [S, A, T], 2), (7, T, [S, A, D, T], 3)]
5. **Dequeue (4, C, [S, B, C], 2):**
   - Explore neighbors of `C`: `T`.
     - `C → T`: weight 2
       - New distance to `T`: 4 + 2 = 6
       - New path: [S, B, C, T]
       - New edges: 3
       - Enqueue: (6, T, [S, B, C, T], 3)
   - Priority queue: [(6, T, [S, A, T], 2), (6, T, [S, B, C, T], 3), (7, T, [S, A, D, T], 3)]
At this point, we have two paths to `T` with a total weight of 6. The next path to `T` in the queue has a weight of 7, which is higher than 6. Therefore, we can stop here because any further paths to `T` will have a weight of at least 7, which is not better than the current minimum of 6.
### Identifying All Minimum-Weight Paths
From the above steps, the paths to `T` with weight 6 are:
1. `[S, A, T]`:
   - Total weight: 1 (S→A) + 5 (A→T) = 6
   - Number of edges: 2
2. `[S, B, C, T]`:
   - Total weight: 2 (S→B) + 2 (B→C) + 2 (C→T) = 6
   - Number of edges: 3
Are there any other paths to `T` with weight 6? Let's check:
- `[S, A, D, T]`: weight 1 + 3 + 3 = 7 (not minimum)
- Any other paths would involve more edges or higher weights, so they can't be better than 6.
### Verifying No Other Minimum Paths Exist
Let's ensure that no other paths have a total weight of 6:
- Starting with `S → A`:
  - `S → A → D → T`: 1 + 3 + 3 = 7
  - `S → A → T`: 1 + 5 = 6
- Starting with `S → B`:
  - `S → B → C → T`: 2 + 2 + 2 = 6
  - `S → B` doesn't have other outgoing edges to explore.
Thus, the only paths with weight 6 are `[S, A, T]` and `[S, B, C, T]`.
### Final Answer
All distinct minimum-total-weight paths from `S` to `T` are:
1. **Path 1:**
   - Node sequence: S → A → T
   - Total weight: 6
   - Number of edges: 2
2. **Path 2:**
   - Node sequence: S → B → C → T
   - Total weight: 6
   - Number of edges: 3
### Summary of Method
1. **Initialization**: Start with `S` having distance 0 and all other nodes at infinity.
2. **Priority Queue**: Use a min-heap to always expand the least costly path first.
3. **Relaxation**: For each node, update the distances to its neighbors if a shorter path is found.
4. **Tracking Paths**: Keep track of all paths that achieve the current minimum distance to `T`.
5. **Termination**: Stop when the priority queue is empty or when all remaining paths to `T` have a higher weight than the current minimum.
This method ensures that we find all paths with the minimum total weight efficiently.</x:v>
      </x:c>
    </x:row>
    <x:row r="17" ht="48" customHeight="1">
      <x:c r="A17" s="29" t="str">
        <x:v>mistral_B02</x:v>
      </x:c>
      <x:c r="B17" s="30" t="n">
        <x:v>46247.930426875</x:v>
      </x:c>
      <x:c r="C17" s="29" t="str">
        <x:v>A/B base</x:v>
      </x:c>
      <x:c r="D17" s="29" t="str">
        <x:v>mistral</x:v>
      </x:c>
      <x:c r="E17" s="29" t="str">
        <x:v>B</x:v>
      </x:c>
      <x:c r="F17" s="29" t="n">
        <x:v>2</x:v>
      </x:c>
      <x:c r="G17" s="29" t="n">
        <x:v>200</x:v>
      </x:c>
      <x:c r="H17" s="29" t="str">
        <x:v>mistralai/mistral-large-2512</x:v>
      </x:c>
      <x:c r="I17" s="29" t="str">
        <x:v>mistral</x:v>
      </x:c>
      <x:c r="J17" s="29" t="str">
        <x:v>mistralai/mistral-large-2512</x:v>
      </x:c>
      <x:c r="K17" s="29" t="str">
        <x:v>Mistral</x:v>
      </x:c>
      <x:c r="L17" s="29" t="str">
        <x:v>gen-1786659589-WxFrxFuea4GCaK9hy00G</x:v>
      </x:c>
      <x:c r="M17" s="29" t="n">
        <x:v>148</x:v>
      </x:c>
      <x:c r="N17" s="29" t="n">
        <x:v>1361</x:v>
      </x:c>
      <x:c r="O17" s="29" t="n">
        <x:v>1509</x:v>
      </x:c>
      <x:c r="P17" s="31" t="n">
        <x:v>0.0020579</x:v>
      </x:c>
      <x:c r="Q17" s="32" t="str">
        <x:v>### Understanding the Problem
We are given a directed, weighted graph with the following edges:
- S → A: weight 1
- A → D: weight 3
- D → T: weight 3
- A → T: weight 5
- S → B: weight 2
- B → C: weight 2
- C → T: weight 2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approach that keeps track of the total weight to reach each node. Since the graph is small, we can also enumerate all possible paths and then select those with the minimum weight.
Given the small size of the graph, enumerating all possible paths is feasible. Here's how we can proceed:
1. **List all possible paths from S to T**: We'll explore all possible sequences of nodes starting from `S` and ending at `T`, following the directed edges.
2. **Calculate the total weight for each path**: For each path, sum the weights of the edges traversed.
3. **Identify the minimum weight**: Determine the smallest total weight among all paths.
4. **Select all paths with this minimum weight**: These are our desired paths.
### Enumerating All Paths from S to T
Let's list all possible paths from `S` to `T`:
1. **Path 1**: S → A → D → T
   - Edges: S→A (1), A→D (3), D→T (3)
   - Total weight: 1 + 3 + 3 = 7
   - Number of edges: 3
2. **Path 2**: S → A → T
   - Edges: S→A (1), A→T (5)
   - Total weight: 1 + 5 = 6
   - Number of edges: 2
3. **Path 3**: S → B → C → T
   - Edges: S→B (2), B→C (2), C→T (2)
   - Total weight: 2 + 2 + 2 = 6
   - Number of edges: 3
Are there any other paths? Let's check:
- From S, we can go to A or B.
  - From A, we can go to D or T.
    - From D, we can only go to T.
  - From B, we can only go to C.
    - From C, we can only go to T.
So, the above three paths cover all possible routes from S to T.
### Identifying Minimum-Weight Paths
Now, let's list the total weights of all paths:
1. S → A → D → T: 7
2. S → A → T: 6
3. S → B → C → T: 6
The minimum total weight among these is **6**. The paths with this weight are:
- S → A → T
- S → B → C → T
### Verifying No Other Paths Exist
To ensure we haven't missed any paths, let's consider the structure:
- From S:
  - To A:
    - From A to D to T.
    - From A directly to T.
  - To B:
    - From B to C to T.
No other edges exist from these nodes, so no other paths are possible.
### Checking for Other Possible Paths
Is there any other way to reach T? Let's see:
- Can we reach T from any other node not already considered? The nodes are S, A, B, C, D, T. All possible edges are listed, and no other edges exist.
- Are there any cycles? No, because:
  - S has no incoming edges.
  - A can only be reached from S.
  - B can only be reached from S.
  - C can only be reached from B.
  - D can only be reached from A.
  - T can be reached from A, D, or C, but none of these can be reached from T (no edges from T).
Thus, no cycles exist, and all paths are simple (no repeated nodes).
### Final Minimum-Weight Paths
From our enumeration, the paths with the minimum total weight of 6 are:
1. **Path**: S → A → T
   - Total weight: 6
   - Number of edges: 2
2. **Path**: S → B → C → T
   - Total weight: 6
   - Number of edges: 3
### Conclusion
After systematically exploring all possible paths from `S` to `T` and calculating their total weights, we've identified that there are exactly two distinct paths with the minimum total weight of 6:
1. **S → A → T**
   - Total weight: 6
   - Number of edges: 2
2. **S → B → C → T**
   - Total weight: 6
   - Number of edges: 3
### Method Explanation
The method used here is **exhaustive enumeration** of all possible paths in the graph, which is feasible due to the small size of the graph. Here's a step-by-step summary:
1. **List all nodes and edges**: Understand the graph's structure.
2. **Start from the source node (S)**: Explore all outgoing edges.
3. **Follow each path to the target (T)**: For each path, keep track of the sequence of nodes and the cumulative weight.
4. **Record all paths reaching T**: Note their sequences and total weights.
5. **Determine the minimum weight**: Identify the smallest total weight among all paths.
6. **Select all paths with this minimum weight**: These are the desired minimum-weight paths.
This approach ensures that we consider every possible route from `S` to `T` and correctly identify those with the least total weight. For larger graphs, more efficient algorithms like Dijkstra's would be preferable, but for this small graph, enumeration is straightforward and effective.</x:v>
      </x:c>
    </x:row>
    <x:row r="18" ht="48" customHeight="1">
      <x:c r="A18" s="29" t="str">
        <x:v>mistral_A02</x:v>
      </x:c>
      <x:c r="B18" s="30" t="n">
        <x:v>46247.930624872686</x:v>
      </x:c>
      <x:c r="C18" s="29" t="str">
        <x:v>A/B base</x:v>
      </x:c>
      <x:c r="D18" s="29" t="str">
        <x:v>mistral</x:v>
      </x:c>
      <x:c r="E18" s="29" t="str">
        <x:v>A</x:v>
      </x:c>
      <x:c r="F18" s="29" t="n">
        <x:v>2</x:v>
      </x:c>
      <x:c r="G18" s="29" t="n">
        <x:v>200</x:v>
      </x:c>
      <x:c r="H18" s="29" t="str">
        <x:v>mistralai/mistral-large-2512</x:v>
      </x:c>
      <x:c r="I18" s="29" t="str">
        <x:v>mistral</x:v>
      </x:c>
      <x:c r="J18" s="29" t="str">
        <x:v>mistralai/mistral-large-2512</x:v>
      </x:c>
      <x:c r="K18" s="29" t="str">
        <x:v>Mistral</x:v>
      </x:c>
      <x:c r="L18" s="29" t="str">
        <x:v>gen-1786659606-Bq5Ier7OSwZhbfUh8K1v</x:v>
      </x:c>
      <x:c r="M18" s="29" t="n">
        <x:v>148</x:v>
      </x:c>
      <x:c r="N18" s="29" t="n">
        <x:v>1110</x:v>
      </x:c>
      <x:c r="O18" s="29" t="n">
        <x:v>1258</x:v>
      </x:c>
      <x:c r="P18" s="31" t="n">
        <x:v>0.001739</x:v>
      </x:c>
      <x:c r="Q18" s="32" t="str">
        <x:v>### Understanding the Problem
We are given a directed, weighted graph with nodes and edges as follows:
- **Edges and Weights:**
  - S → A: 1
  - A → D: 2
  - D → T: 3
  - A → T: 6
  - S → B: 2
  - B → C: 2
  - C → T: 2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perform a **breadth-first search (BFS) with priority** based on the total weight. Since the graph is small, we can also enumerate all possible paths and then select those with the minimum weight.
Given the small size of the graph, enumerating all possible paths is feasible. Here's how we'll proceed:
1. **List all possible paths from S to T**: We'll explore all possible sequences of nodes starting from S and ending at T, following the directed edges.
2. **Calculate the total weight for each path**: Sum the weights of the edges in each path.
3. **Identify the minimum weight**: Determine the smallest total weight among all paths.
4. **Select all paths with this minimum weight**: These are our desired paths.
### Enumerating All Paths from S to T
Let's list all possible paths from S to T by following the edges:
1. **Path 1**: S → A → D → T
   - Sequence: S, A, D, T
   - Edges: S→A, A→D, D→T
   - Weights: 1, 2, 3
   - Total weight: 1 + 2 + 3 = 6
   - Number of edges: 3
2. **Path 2**: S → A → T
   - Sequence: S, A, T
   - Edges: S→A, A→T
   - Weights: 1, 6
   - Total weight: 1 + 6 = 7
   - Number of edges: 2
3. **Path 3**: S → B → C → T
   - Sequence: S, B, C, T
   - Edges: S→B, B→C, C→T
   - Weights: 2, 2, 2
   - Total weight: 2 + 2 + 2 = 6
   - Number of edges: 3
Are there any other possible paths? Let's check:
- From S, we can go to A or B.
  - From A, we can go to D or T.
    - From D, we can only go to T.
  - From B, we can only go to C.
    - From C, we can only go to T.
Thus, the three paths listed above are all possible paths from S to T.
### Identifying Minimum-Weight Paths
Now, let's list the total weights of all paths:
1. Path 1: 6
2. Path 2: 7
3. Path 3: 6
The minimum total weight among these is **6**. Therefore, the paths with total weight 6 are:
- Path 1: S → A → D → T
- Path 3: S → B → C → T
### Verifying No Other Paths Exist
To ensure we haven't missed any paths, let's consider the structure:
- **From S**:
  - To A (weight 1)
    - From A to D (weight 2) → then D to T (weight 3)
    - From A to T (weight 6)
  - To B (weight 2)
    - From B to C (weight 2) → then C to T (weight 2)
No other edges originate from these nodes, so no other paths exist.
### Final Answer
The distinct minimum-total-weight paths from S to T are:
1. **Path 1**:
   - Node sequence: S, A, D, T
   - Total weight: 6
   - Number of edges: 3
2. **Path 2**:
   - Node sequence: S, B, C, T
   - Total weight: 6
   - Number of edges: 3
### Summary of Method
1. **Enumerate all possible paths**: By following the directed edges from S to T, we listed all possible sequences of nodes that form valid paths.
2. **Calculate path weights**: For each path, summed the weights of the edges to get the total weight.
3. **Identify minimum weight**: Determined the smallest total weight among all paths.
4. **Select minimum-weight paths**: Chose all paths that achieve this minimum weight.
This exhaustive enumeration ensures that we've found all possible minimum-weight paths in the given graph.</x:v>
      </x:c>
    </x:row>
    <x:row r="19" ht="48" customHeight="1">
      <x:c r="A19" s="29" t="str">
        <x:v>mistral_B03</x:v>
      </x:c>
      <x:c r="B19" s="30" t="n">
        <x:v>46247.93078494213</x:v>
      </x:c>
      <x:c r="C19" s="29" t="str">
        <x:v>A/B base</x:v>
      </x:c>
      <x:c r="D19" s="29" t="str">
        <x:v>mistral</x:v>
      </x:c>
      <x:c r="E19" s="29" t="str">
        <x:v>B</x:v>
      </x:c>
      <x:c r="F19" s="29" t="n">
        <x:v>3</x:v>
      </x:c>
      <x:c r="G19" s="29" t="n">
        <x:v>200</x:v>
      </x:c>
      <x:c r="H19" s="29" t="str">
        <x:v>mistralai/mistral-large-2512</x:v>
      </x:c>
      <x:c r="I19" s="29" t="str">
        <x:v>mistral</x:v>
      </x:c>
      <x:c r="J19" s="29" t="str">
        <x:v>mistralai/mistral-large-2512</x:v>
      </x:c>
      <x:c r="K19" s="29" t="str">
        <x:v>Mistral</x:v>
      </x:c>
      <x:c r="L19" s="29" t="str">
        <x:v>gen-1786659620-NX2eRRhs79MgKSuQfvnt</x:v>
      </x:c>
      <x:c r="M19" s="29" t="n">
        <x:v>148</x:v>
      </x:c>
      <x:c r="N19" s="29" t="n">
        <x:v>1257</x:v>
      </x:c>
      <x:c r="O19" s="29" t="n">
        <x:v>1405</x:v>
      </x:c>
      <x:c r="P19" s="31" t="n">
        <x:v>0.0019595</x:v>
      </x:c>
      <x:c r="Q19" s="32" t="str">
        <x:v>### Understanding the Problem
We are given a directed, weighted graph with the following edges:
- S → A: 1
- A → D: 3
- D → T: 3
- A → T: 5
- S → B: 2
- B → C: 2
- C → T: 2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approach that keeps track of the shortest paths. Here's how I'll proceed:
1. **List All Possible Paths**: Enumerate all possible paths from `S` to `T` by following the directed edges.
2. **Calculate Total Weights**: For each path, sum the weights of the edges to get the total weight.
3. **Identify Minimum Weight**: Determine the smallest total weight among all paths.
4. **Select Paths with Minimum Weight**: Collect all paths that have this minimum total weight.
5. **Verify**: Ensure that no other paths have a smaller total weight.
### Enumerating All Paths from S to T
Let's list all possible paths from `S` to `T` by following the edges:
1. **Path 1**: S → A → D → T
   - Edges: S→A, A→D, D→T
   - Weights: 1, 3, 3
   - Total weight: 1 + 3 + 3 = 7
   - Number of edges: 3
2. **Path 2**: S → A → T
   - Edges: S→A, A→T
   - Weights: 1, 5
   - Total weight: 1 + 5 = 6
   - Number of edges: 2
3. **Path 3**: S → B → C → T
   - Edges: S→B, B→C, C→T
   - Weights: 2, 2, 2
   - Total weight: 2 + 2 + 2 = 6
   - Number of edges: 3
Are there any other paths? Let's check:
- From `S`, we can go to `A` or `B`.
  - From `A`, we can go to `D` or `T`.
    - From `D`, we can only go to `T`.
  - From `B`, we can only go to `C`.
    - From `C`, we can only go to `T`.
So, the above three paths cover all possible routes from `S` to `T`.
### Calculating Total Weights
From the above:
- Path 1: 7
- Path 2: 6
- Path 3: 6
The minimum total weight is `6`.
### Identifying Minimum-Weight Paths
Paths with total weight `6` are:
1. S → A → T
   - Node sequence: S, A, T
   - Total weight: 6
   - Number of edges: 2
2. S → B → C → T
   - Node sequence: S, B, C, T
   - Total weight: 6
   - Number of edges: 3
### Verifying No Other Paths Exist
Let's ensure we haven't missed any paths:
- Starting from `S`:
  - `S → A`:
    - `A → D → T`: weight 7
    - `A → T`: weight 6
  - `S → B`:
    - `B → C → T`: weight 6
No other edges originate from these nodes, so no other paths exist.
### Checking for Smaller Weights
Is there any path with a total weight less than `6`?
- The smallest edge from `S` is `S → A` with weight `1`.
  - From `A`, the smallest edge is `A → D` with weight `3`, leading to `D → T` with weight `3`, totaling `7`.
  - `A → T` is `5`, totaling `6`.
- `S → B` is `2`, then `B → C` is `2`, then `C → T` is `2`, totaling `6`.
No path has a total weight less than `6`.
### Conclusion
The distinct minimum-total-weight paths from `S` to `T` are:
1. **Path 1**:
   - Node sequence: S, A, T
   - Total weight: 6
   - Number of edges: 2
2. **Path 2**:
   - Node sequence: S, B, C, T
   - Total weight: 6
   - Number of edges: 3
### Final Answer
All distinct minimum-total-weight paths from `S` to `T` are:
1.
   - Node sequence: S → A → T
   - Total weight: 6
   - Number of edges: 2
2.
   - Node sequence: S → B → C → T
   - Total weight: 6
   - Number of edges: 3
**Method Explanation**:
- Enumerated all possible paths from `S` to `T` by following the directed edges.
- Calculated the total weight for each path by summing the edge weights.
- Identified the minimum total weight (6) and selected all paths achieving this weight.
- Verified that no other paths exist with a smaller total weight.</x:v>
      </x:c>
    </x:row>
    <x:row r="20" ht="48" customHeight="1">
      <x:c r="A20" s="29" t="str">
        <x:v>mistral_A03</x:v>
      </x:c>
      <x:c r="B20" s="30" t="n">
        <x:v>46247.9309590625</x:v>
      </x:c>
      <x:c r="C20" s="29" t="str">
        <x:v>A/B base</x:v>
      </x:c>
      <x:c r="D20" s="29" t="str">
        <x:v>mistral</x:v>
      </x:c>
      <x:c r="E20" s="29" t="str">
        <x:v>A</x:v>
      </x:c>
      <x:c r="F20" s="29" t="n">
        <x:v>3</x:v>
      </x:c>
      <x:c r="G20" s="29" t="n">
        <x:v>200</x:v>
      </x:c>
      <x:c r="H20" s="29" t="str">
        <x:v>mistralai/mistral-large-2512</x:v>
      </x:c>
      <x:c r="I20" s="29" t="str">
        <x:v>mistral</x:v>
      </x:c>
      <x:c r="J20" s="29" t="str">
        <x:v>mistralai/mistral-large-2512</x:v>
      </x:c>
      <x:c r="K20" s="29" t="str">
        <x:v>Mistral</x:v>
      </x:c>
      <x:c r="L20" s="29" t="str">
        <x:v>gen-1786659635-Af17KVLk48rBpcAPVeV1</x:v>
      </x:c>
      <x:c r="M20" s="29" t="n">
        <x:v>148</x:v>
      </x:c>
      <x:c r="N20" s="29" t="n">
        <x:v>1171</x:v>
      </x:c>
      <x:c r="O20" s="29" t="n">
        <x:v>1319</x:v>
      </x:c>
      <x:c r="P20" s="31" t="n">
        <x:v>0.0018305</x:v>
      </x:c>
      <x:c r="Q20" s="32" t="str">
        <x:v>### Understanding the Problem
We are given a directed, weighted graph with the following edges:
- S → A: 1
- A → D: 2
- D → T: 3
- A → T: 6
- S → B: 2
- B → C: 2
- C → T: 2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version of Dijkstra's algorithm, which is typically used to find the shortest path in a graph with non-negative edge weights. Here's how we'll proceed:
1. **List All Possible Paths**: Enumerate all possible paths from `S` to `T` by following the directed edges.
2. **Calculate Total Weights**: For each path, sum the weights of the edges to get the total weight.
3. **Identify Minimum Weight**: Determine the smallest total weight among all paths.
4. **Select Paths with Minimum Weight**: Collect all paths that have this minimum total weight.
Alternatively, since the graph is small, we can manually explore all possible paths without missing any.
### Enumerating All Paths from S to T
Let's list all possible paths from `S` to `T`:
1. **Path 1**: S → A → D → T
   - Sequence: S, A, D, T
   - Edges: S→A, A→D, D→T
   - Weights: 1, 2, 3
   - Total weight: 1 + 2 + 3 = 6
   - Number of edges: 3
2. **Path 2**: S → A → T
   - Sequence: S, A, T
   - Edges: S→A, A→T
   - Weights: 1, 6
   - Total weight: 1 + 6 = 7
   - Number of edges: 2
3. **Path 3**: S → B → C → T
   - Sequence: S, B, C, T
   - Edges: S→B, B→C, C→T
   - Weights: 2, 2, 2
   - Total weight: 2 + 2 + 2 = 6
   - Number of edges: 3
Are there any other paths? Let's check:
- From `S`, we can go to `A` or `B`.
  - From `A`, we can go to `D` or `T`.
    - From `D`, we can only go to `T`.
  - From `B`, we can only go to `C`.
    - From `C`, we can only go to `T`.
So, the only possible paths are the three listed above.
### Identifying Minimum-Weight Paths
Now, let's look at the total weights of these paths:
1. Path 1: 6
2. Path 2: 7
3. Path 3: 6
The minimum total weight is `6`, achieved by Path 1 and Path 3.
### Verifying No Other Paths Exist
To ensure we haven't missed any paths, let's consider the structure:
- `S` has outgoing edges to `A` and `B`.
  - From `A`:
    - To `D`, then to `T`.
    - Directly to `T`.
  - From `B`:
    - To `C`, then to `T`.
There are no other nodes or edges, so no other paths exist from `S` to `T`.
### Final Minimum-Weight Paths
Thus, the distinct minimum-total-weight paths from `S` to `T` are:
1. **Path 1**:
   - Node sequence: S, A, D, T
   - Total weight: 6
   - Number of edges: 3
2. **Path 3**:
   - Node sequence: S, B, C, T
   - Total weight: 6
   - Number of edges: 3
### Summary of Results
**Minimum-weight paths from S to T:**
1.
   - Sequence: S → A → D → T
   - Total weight: 6
   - Number of edges: 3
2.
   - Sequence: S → B → C → T
   - Total weight: 6
   - Number of edges: 3
### Explanation of Method
The method involved:
1. **Enumerating All Paths**: By following the directed edges from `S` to `T`, we listed all possible paths without repetition.
2. **Calculating Path Weights**: For each path, we summed the weights of the edges to get the total weight.
3. **Finding Minimum Weight**: We identified the smallest total weight among all paths.
4. **Selecting Minimum-Weight Paths**: We collected all paths that achieved this minimum weight.
This exhaustive approach ensures that we don't miss any paths, especially in a small graph like this one. For larger graphs, more efficient algorithms like Dijkstra's would be preferable, but for this problem, manual enumeration is straightforward and effective.</x:v>
      </x:c>
    </x:row>
    <x:row r="21" ht="48" customHeight="1">
      <x:c r="A21" s="29" t="str">
        <x:v>mistral_A04</x:v>
      </x:c>
      <x:c r="B21" s="30" t="n">
        <x:v>46247.931129571756</x:v>
      </x:c>
      <x:c r="C21" s="29" t="str">
        <x:v>A/B base</x:v>
      </x:c>
      <x:c r="D21" s="29" t="str">
        <x:v>mistral</x:v>
      </x:c>
      <x:c r="E21" s="29" t="str">
        <x:v>A</x:v>
      </x:c>
      <x:c r="F21" s="29" t="n">
        <x:v>4</x:v>
      </x:c>
      <x:c r="G21" s="29" t="n">
        <x:v>200</x:v>
      </x:c>
      <x:c r="H21" s="29" t="str">
        <x:v>mistralai/mistral-large-2512</x:v>
      </x:c>
      <x:c r="I21" s="29" t="str">
        <x:v>mistral</x:v>
      </x:c>
      <x:c r="J21" s="29" t="str">
        <x:v>mistralai/mistral-large-2512</x:v>
      </x:c>
      <x:c r="K21" s="29" t="str">
        <x:v>Mistral</x:v>
      </x:c>
      <x:c r="L21" s="29" t="str">
        <x:v>gen-1786659650-GxzLL86QnQXyhT2vrUvJ</x:v>
      </x:c>
      <x:c r="M21" s="29" t="n">
        <x:v>148</x:v>
      </x:c>
      <x:c r="N21" s="29" t="n">
        <x:v>1690</x:v>
      </x:c>
      <x:c r="O21" s="29" t="n">
        <x:v>1838</x:v>
      </x:c>
      <x:c r="P21" s="31" t="n">
        <x:v>0.002609</x:v>
      </x:c>
      <x:c r="Q21" s="32" t="str">
        <x:v>### Understanding the Problem
We are given a directed, weighted graph with the following edges:
- S → A: weight 1
- A → D: weight 2
- D → T: weight 3
- A → T: weight 6
- S → B: weight 2
- B → C: weight 2
- C → T: weight 2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version of Dijkstra's algorithm, which is typically used to find the shortest path in a graph. However, since we need to find *all* paths with the minimum weight, we'll need to keep track of all paths that achieve the minimum weight as we explore the graph.
Here's the step-by-step method:
1. **Initialize**: Start with the source node `S` with a current distance of 0. All other nodes have an initial distance of infinity.
2. **Priority Queue**: Use a priority queue (or a list that we can sort) to always expand the node with the smallest current distance.
3. **Relaxation**: For each neighbor of the current node, calculate the new distance. If this new distance is less than the previously known distance, update the distance and record the path. If it's equal to the previously known distance, add this path as an alternative.
4. **Termination**: Once we've processed the target node `T`, we can stop since we're only interested in paths to `T`.
5. **Extract Paths**: After processing, extract all paths to `T` that have the minimum weight.
### Applying the Method to the Given Graph
Let's apply this method step by step.
**Initialization:**
- Distance to `S`: 0
- Distance to all other nodes: ∞
- Paths: `S` (distance 0)
**Priority Queue (sorted by distance):**
- [(S, 0)]
**Processing:**
1. **Dequeue S (distance 0):**
   - Neighbors of S: A, B
   - For A:
     - New distance: 0 + 1 = 1
     - Path: S → A
     - Update distance to A: 1
     - Add to queue: (A, 1)
   - For B:
     - New distance: 0 + 2 = 2
     - Path: S → B
     - Update distance to B: 2
     - Add to queue: (B, 2)
   - Queue: [(A, 1), (B, 2)]
2. **Dequeue A (distance 1):**
   - Neighbors of A: D, T
   - For D:
     - New distance: 1 + 2 = 3
     - Path: S → A → D
     - Update distance to D: 3
     - Add to queue: (D, 3)
   - For T:
     - New distance: 1 + 6 = 7
     - Path: S → A → T
     - Distance to T is currently ∞, so update to 7
     - Add to queue: (T, 7)
   - Queue: [(B, 2), (D, 3), (T, 7)]
3. **Dequeue B (distance 2):**
   - Neighbors of B: C
   - For C:
     - New distance: 2 + 2 = 4
     - Path: S → B → C
     - Update distance to C: 4
     - Add to queue: (C, 4)
   - Queue: [(D, 3), (C, 4), (T, 7)]
4. **Dequeue D (distance 3):**
   - Neighbors of D: T
   - For T:
     - New distance: 3 + 3 = 6
     - Path: S → A → D → T
     - Current distance to T is 7, so update to 6
     - Remove (T, 7) from queue and add (T, 6)
   - Queue: [(C, 4), (T, 6)]
5. **Dequeue C (distance 4):**
   - Neighbors of C: T
   - For T:
     - New distance: 4 + 2 = 6
     - Path: S → B → C → T
     - Current distance to T is 6, which is equal to the new distance
     - Add this as an alternative path to T
   - Queue: [(T, 6)]
6. **Dequeue T (distance 6):**
   - We've reached the target node `T` with the minimum distance found so far (6).
   - Since the queue is now empty, we can stop.
**Paths to T with minimum weight (6):**
1. S → A → D → T
   - Total weight: 1 (S→A) + 2 (A→D) + 3 (D→T) = 6
   - Number of edges: 3
2. S → B → C → T
   - Total weight: 2 (S→B) + 2 (B→C) + 2 (C→T) = 6
   - Number of edges: 3
### Verifying Other Possible Paths
Are there any other paths from `S` to `T`? Let's list all possible paths to ensure we haven't missed any:
1. S → A → T
   - Weight: 1 + 6 = 7
   - Not minimum (7 &gt; 6)
2. S → A → D → T
   - Weight: 1 + 2 + 3 = 6
   - Minimum
3. S → B → C → T
   - Weight: 2 + 2 + 2 = 6
   - Minimum
4. Any other combinations?
   - S → A → D → ... (no other edges from D)
   - S → B → C → ... (no other edges from C)
   - No other paths exist based on the given edges.
Thus, the only paths with weight 6 are the two listed above.
### Final Answer
All distinct minimum-total-weight paths from `S` to `T` are:
1. **Path 1:**
   - Node sequence: S → A → D → T
   - Total weight: 6
   - Number of edges: 3
2. **Path 2:**
   - Node sequence: S → B → C → T
   - Total weight: 6
   - Number of edges: 3
### Explanation of Method
The method used is a systematic exploration of the graph starting from `S`, always expanding the least-weight path first (similar to Dijkstra's algorithm). By keeping track of the current minimum distance to each node and the paths that achieve these distances, we can efficiently find all paths that reach `T` with the minimum total weight.
At each step, when we find a path to a node with a weight equal to the current known minimum, we add it as an alternative path. This ensures that by the time we reach `T`, we have all possible paths that achieve the minimum weight.
In this graph, the two paths `S → A → D → T` and `S → B → C → T` both sum to a total weight of 6, which is the minimum possible weight to reach `T` from `S`. No other paths have a lower total weight.</x:v>
      </x:c>
    </x:row>
    <x:row r="22" ht="48" customHeight="1">
      <x:c r="A22" s="29" t="str">
        <x:v>mistral_B04</x:v>
      </x:c>
      <x:c r="B22" s="30" t="n">
        <x:v>46247.9313684838</x:v>
      </x:c>
      <x:c r="C22" s="29" t="str">
        <x:v>A/B base</x:v>
      </x:c>
      <x:c r="D22" s="29" t="str">
        <x:v>mistral</x:v>
      </x:c>
      <x:c r="E22" s="29" t="str">
        <x:v>B</x:v>
      </x:c>
      <x:c r="F22" s="29" t="n">
        <x:v>4</x:v>
      </x:c>
      <x:c r="G22" s="29" t="n">
        <x:v>200</x:v>
      </x:c>
      <x:c r="H22" s="29" t="str">
        <x:v>mistralai/mistral-large-2512</x:v>
      </x:c>
      <x:c r="I22" s="29" t="str">
        <x:v>mistral</x:v>
      </x:c>
      <x:c r="J22" s="29" t="str">
        <x:v>mistralai/mistral-large-2512</x:v>
      </x:c>
      <x:c r="K22" s="29" t="str">
        <x:v>Mistral</x:v>
      </x:c>
      <x:c r="L22" s="29" t="str">
        <x:v>gen-1786659671-sikoqZA8mPbF2atIbmw5</x:v>
      </x:c>
      <x:c r="M22" s="29" t="n">
        <x:v>148</x:v>
      </x:c>
      <x:c r="N22" s="29" t="n">
        <x:v>1340</x:v>
      </x:c>
      <x:c r="O22" s="29" t="n">
        <x:v>1488</x:v>
      </x:c>
      <x:c r="P22" s="31" t="n">
        <x:v>0.002084</x:v>
      </x:c>
      <x:c r="Q22" s="32" t="str">
        <x:v>### Understanding the Problem
We are given a directed, weighted graph with the following edges:
- S → A: weight 1
- A → D: weight 3
- D → T: weight 3
- A → T: weight 5
- S → B: weight 2
- B → C: weight 2
- C → T: weight 2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approach that keeps track of all paths with the minimum weight at each step. Here's how I'll proceed:
1. **List All Possible Paths**: Enumerate all possible paths from `S` to `T` by following the directed edges.
2. **Calculate Total Weights**: For each path, calculate the sum of the weights of its edges.
3. **Identify Minimum Weight**: Determine the smallest total weight among all paths.
4. **Select Paths with Minimum Weight**: Collect all paths that have this minimum total weight.
Given the small size of the graph, enumerating all paths is feasible.
### Enumerating All Paths from S to T
Let's list all possible paths from `S` to `T`:
1. **Path 1**: S → A → D → T
   - Edges: S→A, A→D, D→T
   - Weights: 1, 3, 3
   - Total weight: 1 + 3 + 3 = 7
   - Number of edges: 3
2. **Path 2**: S → A → T
   - Edges: S→A, A→T
   - Weights: 1, 5
   - Total weight: 1 + 5 = 6
   - Number of edges: 2
3. **Path 3**: S → B → C → T
   - Edges: S→B, B→C, C→T
   - Weights: 2, 2, 2
   - Total weight: 2 + 2 + 2 = 6
   - Number of edges: 3
Are there any other paths? Let's check:
- From `S`, we can go to `A` or `B`.
  - From `A`, we can go to `D` or `T`.
    - From `D`, we can only go to `T`.
  - From `B`, we can only go to `C`.
    - From `C`, we can only go to `T`.
So, the three paths listed above are all possible paths from `S` to `T`.
### Calculating Total Weights
From the enumeration:
- Path 1: S → A → D → T, weight = 7
- Path 2: S → A → T, weight = 6
- Path 3: S → B → C → T, weight = 6
### Identifying Minimum Weight Paths
The weights are 7, 6, and 6. The minimum weight is 6.
Paths with weight 6:
1. S → A → T
   - Node sequence: S, A, T
   - Total weight: 6
   - Number of edges: 2
2. S → B → C → T
   - Node sequence: S, B, C, T
   - Total weight: 6
   - Number of edges: 3
### Verifying No Other Paths Exist
Let's ensure we haven't missed any paths:
- Starting at `S`:
  - S → A:
    - A → D → T
    - A → T
  - S → B:
    - B → C → T
No other edges originate from `S`, `A`, `B`, `D`, or `C` that lead to `T`, so these are all possible paths.
### Checking for Other Possible Minimum Paths
Is there any path with weight less than 6?
- The smallest edge from `S` is S→A (1), but the next edges from `A` are A→D (3) or A→T (5), leading to totals of 7 or 6.
- The other edge from `S` is S→B (2), then B→C (2), then C→T (2), totaling 6.
No path has a total weight less than 6.
### Conclusion
The distinct minimum-total-weight paths from `S` to `T` are:
1. **Path**: S → A → T
   - **Total weight**: 6
   - **Number of edges**: 2
2. **Path**: S → B → C → T
   - **Total weight**: 6
   - **Number of edges**: 3
### Final Answer
All distinct minimum-total-weight paths from `S` to `T` are:
1.
   - **Node sequence**: S, A, T
   - **Total weight**: 6
   - **Number of edges**: 2
2.
   - **Node sequence**: S, B, C, T
   - **Total weight**: 6
   - **Number of edges**: 3
### Explanation of Method
The method involved:
1. **Enumerating All Paths**: By following the directed edges from `S` to `T`, we listed all possible paths without cycles (since the graph is acyclic, no cycles exist).
2. **Calculating Path Weights**: For each path, we summed the weights of its edges to get the total weight.
3. **Finding Minimum Weight**: We identified the smallest total weight among all paths.
4. **Selecting Minimum Paths**: We collected all paths that achieved this minimum weight.
This exhaustive enumeration is feasible for small graphs like this one. For larger graphs, more efficient algorithms like Dijkstra's with path tracking would be necessary.</x:v>
      </x:c>
    </x:row>
    <x:row r="23" ht="48" customHeight="1">
      <x:c r="A23" s="29" t="str">
        <x:v>mistral_A05</x:v>
      </x:c>
      <x:c r="B23" s="30" t="n">
        <x:v>46247.931563391205</x:v>
      </x:c>
      <x:c r="C23" s="29" t="str">
        <x:v>A/B base</x:v>
      </x:c>
      <x:c r="D23" s="29" t="str">
        <x:v>mistral</x:v>
      </x:c>
      <x:c r="E23" s="29" t="str">
        <x:v>A</x:v>
      </x:c>
      <x:c r="F23" s="29" t="n">
        <x:v>5</x:v>
      </x:c>
      <x:c r="G23" s="29" t="n">
        <x:v>200</x:v>
      </x:c>
      <x:c r="H23" s="29" t="str">
        <x:v>mistralai/mistral-large-2512</x:v>
      </x:c>
      <x:c r="I23" s="29" t="str">
        <x:v>mistral</x:v>
      </x:c>
      <x:c r="J23" s="29" t="str">
        <x:v>mistralai/mistral-large-2512</x:v>
      </x:c>
      <x:c r="K23" s="29" t="str">
        <x:v>Mistral</x:v>
      </x:c>
      <x:c r="L23" s="29" t="str">
        <x:v>gen-1786659687-JGvURubekRKnm3NKWqKk</x:v>
      </x:c>
      <x:c r="M23" s="29" t="n">
        <x:v>148</x:v>
      </x:c>
      <x:c r="N23" s="29" t="n">
        <x:v>1510</x:v>
      </x:c>
      <x:c r="O23" s="29" t="n">
        <x:v>1658</x:v>
      </x:c>
      <x:c r="P23" s="31" t="n">
        <x:v>0.002339</x:v>
      </x:c>
      <x:c r="Q23" s="32" t="str">
        <x:v>### Understanding the Problem
We are given a directed, weighted graph with the following edges:
- S → A: 1
- A → D: 2
- D → T: 3
- A → T: 6
- S → B: 2
- B → C: 2
- C → T: 2
Our goal is to find all distinct paths from the starting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version of Dijkstra's algorithm, which is typically used to find the shortest path from a single source to all other nodes in a graph. However, since we need all paths with the minimum weight, we'll keep track of all paths that achieve the minimum weight as we explore the graph.
Here's the step-by-step method:
1. **Initialize**: Start with the source node `S` with a current distance of 0. All other nodes start with an infinite distance.
2. **Priority Queue**: Use a priority queue (or a list that we can sort) to always expand the node with the smallest current distance.
3. **Relaxation**: For each neighbor of the current node, calculate the new distance. If this new distance is less than the previously known distance, update it and record the path. If it's equal to the known distance, add this path as another possible path to that node.
4. **Termination**: Once we've processed the target node `T`, we can stop since we're only interested in paths to `T`.
5. **Collect Paths**: After processing, collect all paths to `T` that have the minimum weight.
### Applying the Method to the Given Graph
Let's apply this method to our graph.
**Initialization:**
- Distance to `S`: 0
- Distance to all other nodes: ∞
- Paths: `S` (distance 0)
**Priority Queue:** [(S, 0)]
**Process:**
1. **Dequeue S (distance 0):**
   - Neighbors of S: A, B
     - S → A: new distance = 0 + 1 = 1
       - Update A's distance to 1
       - Path to A: S → A
     - S → B: new distance = 0 + 2 = 2
       - Update B's distance to 2
       - Path to B: S → B
   - Priority Queue: [(A, 1), (B, 2)]
2. **Dequeue A (distance 1):**
   - Neighbors of A: D, T
     - A → D: new distance = 1 + 2 = 3
       - Update D's distance to 3
       - Path to D: S → A → D
     - A → T: new distance = 1 + 6 = 7
       - Update T's distance to 7
       - Path to T: S → A → T
   - Priority Queue: [(D, 3), (B, 2), (T, 7)]
3. **Dequeue B (distance 2):**
   - Neighbors of B: C
     - B → C: new distance = 2 + 2 = 4
       - Update C's distance to 4
       - Path to C: S → B → C
   - Priority Queue: [(D, 3), (C, 4), (T, 7)]
4. **Dequeue D (distance 3):**
   - Neighbors of D: T
     - D → T: new distance = 3 + 3 = 6
       - Current T's distance is 7, so update to 6
       - Path to T: S → A → D → T
       - Remove previous path to T (S → A → T) since its distance is higher
   - Priority Queue: [(C, 4), (T, 6)]
5. **Dequeue C (distance 4):**
   - Neighbors of C: T
     - C → T: new distance = 4 + 2 = 6
       - Current T's distance is 6, so this is equal
       - Add another path to T: S → B → C → T
   - Priority Queue: [(T, 6), (T, 6)]
6. **Dequeue T (distance 6):**
   - We've reached T with distance 6. Since we're only interested in paths to T, and the next entry in the queue is also T with distance 6, we can stop here.
**Collected Paths to T:**
1. S → A → D → T
   - Total weight: 1 (S→A) + 2 (A→D) + 3 (D→T) = 6
   - Number of edges: 3
2. S → B → C → T
   - Total weight: 2 (S→B) + 2 (B→C) + 2 (C→T) = 6
   - Number of edges: 3
### Verifying Other Possible Paths
Let's ensure there are no other paths with a total weight less than 6.
- S → A → T: 1 + 6 = 7 (higher than 6)
- Any path that goes through more nodes will likely have a higher total weight since all edge weights are positive.
Thus, the only paths with a total weight of 6 are the two listed above.
### Final Answer
All distinct minimum-total-weight paths from `S` to `T` are:
1. **Path 1:**
   - Node sequence: S → A → D → T
   - Total weight: 6
   - Number of edges: 3
2. **Path 2:**
   - Node sequence: S → B → C → T
   - Total weight: 6
   - Number of edges: 3
### Explanation of Method
The method used is a systematic exploration of the graph starting from `S`, always expanding the least costly path first (similar to Dijkstra's algorithm). By keeping track of all paths that achieve the current minimum distance to each node, we ensure that we don't miss any potential minimum-weight paths to `T`. Once we reach `T` with a certain distance, any other paths to `T` with the same distance are also minimum-weight paths, while those with higher distances can be disregarded.
In this graph, the two paths identified both have a total weight of 6, which is the minimum possible, as any other path either has a higher total weight or doesn't reach `T`. The intermediate steps show how each path is built and how their weights are calculated, confirming that no other paths have a lower total weight.</x:v>
      </x:c>
    </x:row>
    <x:row r="24" ht="48" customHeight="1">
      <x:c r="A24" s="29" t="str">
        <x:v>mistral_B05</x:v>
      </x:c>
      <x:c r="B24" s="30" t="n">
        <x:v>46247.9317841088</x:v>
      </x:c>
      <x:c r="C24" s="29" t="str">
        <x:v>A/B base</x:v>
      </x:c>
      <x:c r="D24" s="29" t="str">
        <x:v>mistral</x:v>
      </x:c>
      <x:c r="E24" s="29" t="str">
        <x:v>B</x:v>
      </x:c>
      <x:c r="F24" s="29" t="n">
        <x:v>5</x:v>
      </x:c>
      <x:c r="G24" s="29" t="n">
        <x:v>200</x:v>
      </x:c>
      <x:c r="H24" s="29" t="str">
        <x:v>mistralai/mistral-large-2512</x:v>
      </x:c>
      <x:c r="I24" s="29" t="str">
        <x:v>mistral</x:v>
      </x:c>
      <x:c r="J24" s="29" t="str">
        <x:v>mistralai/mistral-large-2512</x:v>
      </x:c>
      <x:c r="K24" s="29" t="str">
        <x:v>Mistral</x:v>
      </x:c>
      <x:c r="L24" s="29" t="str">
        <x:v>gen-1786659707-9wHYrXnCvm8YuLUTKaF0</x:v>
      </x:c>
      <x:c r="M24" s="29" t="n">
        <x:v>148</x:v>
      </x:c>
      <x:c r="N24" s="29" t="n">
        <x:v>1184</x:v>
      </x:c>
      <x:c r="O24" s="29" t="n">
        <x:v>1332</x:v>
      </x:c>
      <x:c r="P24" s="31" t="n">
        <x:v>0.00185</x:v>
      </x:c>
      <x:c r="Q24" s="32" t="str">
        <x:v>### Understanding the Problem
We are given a directed, weighted graph with the following edges:
- S → A: 1
- A → D: 3
- D → T: 3
- A → T: 5
- S → B: 2
- B → C: 2
- C → T: 2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approach that keeps track of the shortest paths to each node. Here's how I'll proceed:
1. **List All Possible Paths**: Enumerate all possible paths from `S` to `T` by following the directed edges.
2. **Calculate Total Weights**: For each path, calculate the sum of the weights of its edges.
3. **Identify Minimum Weight**: Determine the smallest total weight among all paths.
4. **Select Paths with Minimum Weight**: Collect all paths that have this minimum total weight.
5. **Verify Uniqueness**: Ensure that the paths are distinct in terms of node sequences.
### Enumerating All Paths from S to T
Let's list all possible paths from `S` to `T` by exploring each possible route:
1. **Path 1**: S → A → D → T
   - S → A: 1
   - A → D: 3
   - D → T: 3
   - Total weight: 1 + 3 + 3 = 7
   - Number of edges: 3
2. **Path 2**: S → A → T
   - S → A: 1
   - A → T: 5
   - Total weight: 1 + 5 = 6
   - Number of edges: 2
3. **Path 3**: S → B → C → T
   - S → B: 2
   - B → C: 2
   - C → T: 2
   - Total weight: 2 + 2 + 2 = 6
   - Number of edges: 3
Are there any other paths? Let's check:
- From `S`, we can go to `A` or `B`.
  - From `A`, we can go to `D` or `T`.
    - From `D`, we can only go to `T`.
  - From `B`, we can only go to `C`.
    - From `C`, we can only go to `T`.
So, the above three paths cover all possible routes from `S` to `T`.
### Calculating Total Weights
From the above:
- Path 1: S → A → D → T: 7
- Path 2: S → A → T: 6
- Path 3: S → B → C → T: 6
### Identifying Minimum Weight Paths
The total weights are 7, 6, and 6. The minimum total weight is 6.
The paths with total weight 6 are:
1. S → A → T
2. S → B → C → T
### Verifying No Other Paths Exist
Let's ensure we haven't missed any paths:
- Starting from `S`:
  - `S → A`:
    - `A → D → T`: Path 1
    - `A → T`: Path 2
  - `S → B`:
    - `B → C → T`: Path 3
No other edges originate from these nodes, so no other paths exist.
### Checking for Other Possible Paths
Is there any way to combine these paths or find alternative routes?
- For example, is there a path like S → A → B → ...? No, because there's no edge from `A` to `B`.
- Similarly, no edges from `D` or `C` lead back to earlier nodes, so no cycles or longer paths are possible.
Thus, the only paths are the three listed, with two having the minimum weight of 6.
### Final Answer
The distinct minimum-total-weight paths from `S` to `T` are:
1. **Path**: S → A → T
   - **Total weight**: 6
   - **Number of edges**: 2
2. **Path**: S → B → C → T
   - **Total weight**: 6
   - **Number of edges**: 3
### Explanation of Method
1. **Path Enumeration**: We systematically explored all possible paths from `S` to `T` by following the directed edges. This ensures we don't miss any potential routes.
2. **Weight Calculation**: For each path, we summed the weights of its edges to get the total weight.
3. **Minimum Identification**: By comparing the total weights, we identified the smallest value (6 in this case).
4. **Selection of Paths**: We selected all paths that achieved this minimum weight.
5. **Verification**: We confirmed that no other paths exist by checking all possible edge sequences from `S` to `T`.
This method guarantees that we've found all possible minimum-weight paths from `S` to `T` in the given graph.</x:v>
      </x:c>
    </x:row>
    <x:row r="25" ht="48" customHeight="1">
      <x:c r="A25" s="29" t="str">
        <x:v>deepseek_A01</x:v>
      </x:c>
      <x:c r="B25" s="30" t="n">
        <x:v>46247.93195377315</x:v>
      </x:c>
      <x:c r="C25" s="29" t="str">
        <x:v>A/B base</x:v>
      </x:c>
      <x:c r="D25" s="29" t="str">
        <x:v>deepseek</x:v>
      </x:c>
      <x:c r="E25" s="29" t="str">
        <x:v>A</x:v>
      </x:c>
      <x:c r="F25" s="29" t="n">
        <x:v>1</x:v>
      </x:c>
      <x:c r="G25" s="29" t="n">
        <x:v>200</x:v>
      </x:c>
      <x:c r="H25" s="29" t="str">
        <x:v>deepseek/deepseek-v3.2-exp</x:v>
      </x:c>
      <x:c r="I25" s="29" t="str">
        <x:v>siliconflow</x:v>
      </x:c>
      <x:c r="J25" s="29" t="str">
        <x:v>deepseek/deepseek-v3.2-exp</x:v>
      </x:c>
      <x:c r="K25" s="29" t="str">
        <x:v>SiliconFlow</x:v>
      </x:c>
      <x:c r="L25" s="29" t="str">
        <x:v>gen-1786659721-XjoQsckTc5E9hp30PbWy</x:v>
      </x:c>
      <x:c r="M25" s="29" t="n">
        <x:v>168</x:v>
      </x:c>
      <x:c r="N25" s="29" t="n">
        <x:v>635</x:v>
      </x:c>
      <x:c r="O25" s="29" t="n">
        <x:v>803</x:v>
      </x:c>
      <x:c r="P25" s="31" t="n">
        <x:v>0.00030571</x:v>
      </x:c>
      <x:c r="Q25" s="32" t="str">
        <x:v>Let’s go step by step.  
---
## **1. Understanding the graph**
Vertices: \( S, A, B, C, D, T \)  
Edges with weights:  
1. \( S \to A : 1 \)  
2. \( A \to D : 2 \)  
3. \( D \to T : 3 \)  
4. \( A \to T : 6 \)  
5. \( S \to B : 2 \)  
6. \( B \to C : 2 \)  
7. \( C \to T : 2 \)  
Directed edges only as listed.
---
## **2. Finding shortest paths from S to T**
We can use **Dijkstra’s algorithm** or just enumerate all simple paths because the graph is small.
---
**Possible routes from S to T:**
### Route 1: \( S \to A \to T \)  
Weight = \( 1 + 6 = 7 \)  
Edges = 2  
### Route 2: \( S \to A \to D \to T \)  
Weight = \( 1 + 2 + 3 = 6 \)  
Edges = 3  
### Route 3: \( S \to B \to C \to T \)  
Weight = \( 2 + 2 + 2 = 6 \)  
Edges = 3  
### Route 4: \( S \to B \to C \to \dots \) — no other edges from C except to T.  
### Route 5: Are there others?  
\( S \to B \) → no other edges from B except to C.  
\( S \to A \to D \) → no other edges from D except to T.  
So all possible simple paths from S to T are:
1. \( S \to A \to T \) (7)  
2. \( S \to A \to D \to T \) (6)  
3. \( S \to B \to C \to T \) (6)  
No other routes because:
- From S, only A and B.
- From A, only D and T.
- From D, only T.
- From B, only C.
- From C, only T.
---
## **3. Minimum total weight**
Weights:  
Path 1: 7  
Path 2: 6  
Path 3: 6  
Minimum weight = **6**.
---
## **4. Distinct minimum-weight paths**
Two paths with weight 6:
1. \( S \to A \to D \to T \)  
   Total weight = \( 1 + 2 + 3 = 6 \)  
   Number of edges = 3  
2. \( S \to B \to C \to T \)  
   Total weight = \( 2 + 2 + 2 = 6 \)  
   Number of edges = 3  
---
**Check**: Could there be a shorter path?  
- \( S \to A \) (1) plus \( A \to T \) (6) = 7, not minimal.  
- No direct S → T edge.  
- No path S → A → B → … (no A → B edge).  
- No path S → B → A (no B → A edge).  
So indeed, minimum weight = 6, and both listed above achieve it.
---
## **5. Final answer**
**Minimum total weight:** 6  
**Number of distinct minimum-weight paths:** 2  
**Path 1:**  
- Node sequence: \( S \to A \to D \to T \)  
- Total weight: 6  
- Number of edges: 3  
**Path 2:**  
- Node sequence: \( S \to B \to C \to T \)  
- Total weight: 6  
- Number of edges: 3  
**Method:** Enumerated all simple directed paths from S to T using given edges, computed total weights, identified minimum weight (6), listed all achieving it.</x:v>
      </x:c>
    </x:row>
    <x:row r="26" ht="48" customHeight="1">
      <x:c r="A26" s="29" t="str">
        <x:v>deepseek_B01</x:v>
      </x:c>
      <x:c r="B26" s="30" t="n">
        <x:v>46247.93222840278</x:v>
      </x:c>
      <x:c r="C26" s="29" t="str">
        <x:v>A/B base</x:v>
      </x:c>
      <x:c r="D26" s="29" t="str">
        <x:v>deepseek</x:v>
      </x:c>
      <x:c r="E26" s="29" t="str">
        <x:v>B</x:v>
      </x:c>
      <x:c r="F26" s="29" t="n">
        <x:v>1</x:v>
      </x:c>
      <x:c r="G26" s="29" t="n">
        <x:v>200</x:v>
      </x:c>
      <x:c r="H26" s="29" t="str">
        <x:v>deepseek/deepseek-v3.2-exp</x:v>
      </x:c>
      <x:c r="I26" s="29" t="str">
        <x:v>siliconflow</x:v>
      </x:c>
      <x:c r="J26" s="29" t="str">
        <x:v>deepseek/deepseek-v3.2-exp</x:v>
      </x:c>
      <x:c r="K26" s="29" t="str">
        <x:v>SiliconFlow</x:v>
      </x:c>
      <x:c r="L26" s="29" t="str">
        <x:v>gen-1786659745-RpbmT88hWBteWBXU42pn</x:v>
      </x:c>
      <x:c r="M26" s="29" t="n">
        <x:v>168</x:v>
      </x:c>
      <x:c r="N26" s="29" t="n">
        <x:v>871</x:v>
      </x:c>
      <x:c r="O26" s="29" t="n">
        <x:v>1039</x:v>
      </x:c>
      <x:c r="P26" s="31" t="n">
        <x:v>0.00040247</x:v>
      </x:c>
      <x:c r="Q26" s="32" t="str">
        <x:v>Alright — let’s go step-by-step.
---
## **1. Restating the problem**
We have a directed, weighted graph:
Edges:  
1. \( S \to A \), weight \( 1 \)  
2. \( A \to D \), weight \( 3 \)  
3. \( D \to T \), weight \( 3 \)  
4. \( A \to T \), weight \( 5 \)  
5. \( S \to B \), weight \( 2 \)  
6. \( B \to C \), weight \( 2 \)  
7. \( C \to T \), weight \( 2 \)  
We want **all distinct minimum-total-weight paths** from \( S \) to \( T \), with  
- node sequence  
- total weight  
- number of edges  
---
## **2. List all possible paths**
Let’s enumerate possible routes from \( S \) to \( T \) (only forward edges):
**From S:**
**Branch 1:** via \( A \)  
- \( S \to A \to T \) → weight \( 1 + 5 = 6 \), edges \( 2 \)  
- \( S \to A \to D \to T \) → weight \( 1 + 3 + 3 = 7 \), edges \( 3 \)
**Branch 2:** via \( B \)  
- \( S \to B \to C \to T \) → weight \( 2 + 2 + 2 = 6 \), edges \( 3 \)  
No other connections:  
- No edge from \( D \) to \( C \) or \( A \) to \( C \) etc.  
- No edge from \( B \) to \( A \) or \( B \) to \( D \).  
- No edge from \( C \) to anywhere except \( T \).  
- No edge from \( T \) anywhere.  
So possible paths:  
1. \( S \to A \to T \) (6, 2 edges)  
2. \( S \to A \to D \to T \) (7, 3 edges)  
3. \( S \to B \to C \to T \) (6, 3 edges)  
---
## **3. Check for other paths**
Could there be \( S \to B \to \dots \) other than via \( C \)? No, \( B \) only goes to \( C \).  
Could there be \( S \to A \to D \to \dots \) other than \( D \to T \)? No, \( D \) only goes to \( T \).  
So total distinct simple paths: 3.
---
## **4. Find minimum total weight**
Weights: 6, 7, 6.  
Minimum weight = \( 6 \).
So minimum-weight paths:  
- \( S \to A \to T \) (weight 6, 2 edges)  
- \( S \to B \to C \to T \) (weight 6, 3 edges)  
---
## **5. Verification via Dijkstra’s algorithm (to ensure no shorter path)**
**Step 0:**  
Dist[S] = 0, others = ∞.
**Step 1:**  
From S:  
- to A: dist 0+1=1, update Dist[A]=1, prev[A]=S  
- to B: dist 0+2=2, update Dist[B]=2, prev[B]=S  
**Step 2:** Pick A (dist 1):  
- A→D: 1+3=4 &lt; ∞, Dist[D]=4, prev[D]=A  
- A→T: 1+5=6 &lt; ∞, Dist[T]=6, prev[T]=A  
**Step 3:** Pick B (dist 2):  
- B→C: 2+2=4 &lt; ∞, Dist[C]=4, prev[C]=B  
**Step 4:** Pick D (dist 4):  
- D→T: 4+3=7 &gt; 6, no update.  
**Step 5:** Pick C (dist 4):  
- C→T: 4+2=6 = current Dist[T], so another path to T with same distance 6.  
**Step 6:** Pick T (dist 6) — done.
Final distances:  
Dist[T] = 6.
---
**Find all shortest paths from prev info:**
From T:  
- T ← A (from Dijkstra tree) gives path S→A→T (6)  
- Also T ← C (since C→T with weight 2, Dist[C]=4) gives path S→B→C→T (6)  
Check if any other path with length 6? No:  
- S→A→D→T = 7  
- Only these two.
---
## **6. Final answer**
**Minimum total weight = 6**
**Paths:**
1. \( S \to A \to T \)  
   - Total weight: 6  
   - Number of edges: 2  
2. \( S \to B \to C \to T \)  
   - Total weight: 6  
   - Number of edges: 3  
---
**Method:**  
- Listed all simple directed paths from S to T by inspection.  
- Computed their weights.  
- Took the minimum weight (6) and selected all paths with that weight.  
- Verified using Dijkstra’s algorithm to ensure no path shorter than 6 exists and to systematically find all shortest paths.</x:v>
      </x:c>
    </x:row>
    <x:row r="27" ht="48" customHeight="1">
      <x:c r="A27" s="29" t="str">
        <x:v>deepseek_B02</x:v>
      </x:c>
      <x:c r="B27" s="30" t="n">
        <x:v>46247.932617199076</x:v>
      </x:c>
      <x:c r="C27" s="29" t="str">
        <x:v>A/B base</x:v>
      </x:c>
      <x:c r="D27" s="29" t="str">
        <x:v>deepseek</x:v>
      </x:c>
      <x:c r="E27" s="29" t="str">
        <x:v>B</x:v>
      </x:c>
      <x:c r="F27" s="29" t="n">
        <x:v>2</x:v>
      </x:c>
      <x:c r="G27" s="29" t="n">
        <x:v>200</x:v>
      </x:c>
      <x:c r="H27" s="29" t="str">
        <x:v>deepseek/deepseek-v3.2-exp</x:v>
      </x:c>
      <x:c r="I27" s="29" t="str">
        <x:v>siliconflow</x:v>
      </x:c>
      <x:c r="J27" s="29" t="str">
        <x:v>deepseek/deepseek-v3.2-exp</x:v>
      </x:c>
      <x:c r="K27" s="29" t="str">
        <x:v>SiliconFlow</x:v>
      </x:c>
      <x:c r="L27" s="29" t="str">
        <x:v>gen-1786659779-KSgL0D0nA8GAig384dVa</x:v>
      </x:c>
      <x:c r="M27" s="29" t="n">
        <x:v>168</x:v>
      </x:c>
      <x:c r="N27" s="29" t="n">
        <x:v>838</x:v>
      </x:c>
      <x:c r="O27" s="29" t="n">
        <x:v>1006</x:v>
      </x:c>
      <x:c r="P27" s="31" t="n">
        <x:v>0.00038894</x:v>
      </x:c>
      <x:c r="Q27" s="32" t="str">
        <x:v>Alright, let's go step by step.
---
## **1. Graph representation**
We have nodes: **S, A, B, C, D, T**.
Edges with weights:
1. S → A: 1  
2. A → D: 3  
3. D → T: 3  
4. A → T: 5  
5. S → B: 2  
6. B → C: 2  
7. C → T: 2  
No other edges exist.
---
## **2. Finding shortest paths from S to T**
We can use Dijkstra's algorithm manually.
### Initial distances:
dist[S] = 0  
dist[others] = ∞
---
**Step 1:**  
From S, edges to A (weight 1) and B (weight 2).  
dist[A] = 1, dist[B] = 2.  
Queue: A(1), B(2).
---
**Step 2:**  
Pick A(1).  
From A:  
- A → D: 3, so dist[D] = 1 + 3 = 4  
- A → T: 5, so dist[T] = 1 + 5 = 6  
Now: dist[S]=0, A=1, B=2, D=4, T=6.  
Queue: B(2), D(4), T(6).
---
**Step 3:**  
Pick B(2).  
From B: B → C: 2, so dist[C] = 2 + 2 = 4  
Now: dist[C] = 4.  
Queue: D(4), C(4), T(6).
---
**Step 4:**  
Pick D(4).  
From D: D → T: 3, so dist[T] = min(6, 4+3=7) → still 6? Wait, check:  
Earlier dist[T] = 6 from A→T.  
Now D → T: 4 + 3 = 7, which is **larger** than 6, so no update.
dist[T] = 6 still.  
Queue: C(4), T(6).
---
**Step 5:**  
Pick C(4).  
From C: C → T: 2, so dist[T] = min(6, 4+2=6) → same 6.  
So dist[T] = 6.
---
**Step 6:**  
Pick T(6), done.
---
So shortest distance from S to T = **6**.
---
## **3. Find all paths with total weight = 6**
We can enumerate systematically:
**Path 1:** S → A → T  
Weight = 1 + 5 = 6  
Edges = 2  
**Path 2:** S → B → C → T  
Weight = 2 + 2 + 2 = 6  
Edges = 3  
**Check S → A → D → T:**  
Weight = 1 + 3 + 3 = 7 (not shortest)  
**Check S → A → D → ...** no other from D.  
**Check S → B → ...** only B→C→T done.  
No other combination reaches T with total weight 6 because:
- S→A=1, then A→D→T=7, A→T=6.  
- S→B=2, then B→C=2, C→T=2 → total 6.  
- Can we do S→A→D→something? D only goes to T.  
- Can we mix? No, graph is directed as given, no edges from C to D or D to C, etc.
So only 2 distinct paths of weight 6.
---
## **4. Verification by brute force enumeration of all possible paths**
List all possible routes from S to T:
1. S → A → T: 6  
2. S → A → D → T: 7  
3. S → B → C → T: 6  
4. S → B → ... (B only goes to C, C only goes to T) — already above.  
No other because:  
From S: go to A or B.  
From A: go to D or T.  
From B: go to C.  
From C: go to T.  
From D: go to T.  
So possible sequences:  
S-A-T  
S-A-D-T  
S-B-C-T  
Weights:  
S-A-T: 1+5=6  
S-A-D-T: 1+3+3=7  
S-B-C-T: 2+2+2=6  
Thus minimal weight = 6, paths:  
S-A-T and S-B-C-T.
---
## **5. Final answer**
**Minimum total weight:** 6  
**All minimum-weight paths:**
1. Path: S → A → T  
   Total weight: 6  
   Number of edges: 2  
2. Path: S → B → C → T  
   Total weight: 6  
   Number of edges: 3  
---
**Explanation of method:**  
I used Dijkstra’s algorithm to compute the shortest distance from S to T (which is 6). Then, I enumerated all possible directed paths in this small graph and selected those with total weight 6. Verification showed only these two paths achieve the minimum weight.</x:v>
      </x:c>
    </x:row>
    <x:row r="28" ht="48" customHeight="1">
      <x:c r="A28" s="29" t="str">
        <x:v>deepseek_A02</x:v>
      </x:c>
      <x:c r="B28" s="30" t="n">
        <x:v>46247.932994027775</x:v>
      </x:c>
      <x:c r="C28" s="29" t="str">
        <x:v>A/B base</x:v>
      </x:c>
      <x:c r="D28" s="29" t="str">
        <x:v>deepseek</x:v>
      </x:c>
      <x:c r="E28" s="29" t="str">
        <x:v>A</x:v>
      </x:c>
      <x:c r="F28" s="29" t="n">
        <x:v>2</x:v>
      </x:c>
      <x:c r="G28" s="29" t="n">
        <x:v>200</x:v>
      </x:c>
      <x:c r="H28" s="29" t="str">
        <x:v>deepseek/deepseek-v3.2-exp</x:v>
      </x:c>
      <x:c r="I28" s="29" t="str">
        <x:v>siliconflow</x:v>
      </x:c>
      <x:c r="J28" s="29" t="str">
        <x:v>deepseek/deepseek-v3.2-exp</x:v>
      </x:c>
      <x:c r="K28" s="29" t="str">
        <x:v>SiliconFlow</x:v>
      </x:c>
      <x:c r="L28" s="29" t="str">
        <x:v>gen-1786659811-m7csTwiIJFsWIMclGknh</x:v>
      </x:c>
      <x:c r="M28" s="29" t="n">
        <x:v>168</x:v>
      </x:c>
      <x:c r="N28" s="29" t="n">
        <x:v>952</x:v>
      </x:c>
      <x:c r="O28" s="29" t="n">
        <x:v>1120</x:v>
      </x:c>
      <x:c r="P28" s="31" t="n">
        <x:v>0.00043568</x:v>
      </x:c>
      <x:c r="Q28" s="32" t="str">
        <x:v>Alright — let’s go step-by-step.  
---
## **Step 1 — Understanding the graph**
We have nodes: S, A, B, C, D, T.
Edges with weights:  
1. S → A (1)  
2. A → D (2)  
3. D → T (3)  
4. A → T (6)  
5. S → B (2)  
6. B → C (2)  
7. C → T (2)  
No other edges. Graph is directed as listed.
We want **all distinct minimum-total-weight paths from S to T**.
---
## **Step 2 — Enumerate possible paths and their weights**
Let’s list all possible directed paths from S to T (following edges as given):
### **From S via A:**
1. S → A → T: weight = 1 + 6 = **7**  
2. S → A → D → T: weight = 1 + 2 + 3 = **6**  
### **From S via B:**
3. S → B → C → T: weight = 2 + 2 + 2 = **6**  
Are there any other paths?  
- S → B → ??? → T: Only B → C exists from B, so only S→B→C→T above.  
- S → A → D → ??? → T: Only D → T exists from D, so only S→A→D→T above.  
- Can we mix? S → A → ??? other than D or T? No, only A→D, A→T.  
- Can we go S → B → ??? → ??? → T? Only B → C, C → T, so only that one path.  
So total distinct directed paths from S to T:  
1. S-A-T (7)  
2. S-A-D-T (6)  
3. S-B-C-T (6)  
No others.
---
## **Step 3 — Identify minimum total weight**
Path weights: 7, 6, 6.  
Minimum total weight = **6**.
So minimum-weight paths are:  
- S-A-D-T (weight 6)  
- S-B-C-T (weight 6)
---
## **Step 4 — Verify by Dijkstra (to ensure no shorter path)**
Let’s compute shortest distance from S to all nodes:
**Initialize:**  
dist[S] = 0, others = ∞.
**Relax edges from S:**  
S → A (1): dist[A] = 1  
S → B (2): dist[B] = 2  
**Relax edges from A:** (dist[A] = 1)  
A → D (2): dist[D] = 1 + 2 = 3  
A → T (6): dist[T] = 1 + 6 = 7  
**Relax edges from B:** (dist[B] = 2)  
B → C (2): dist[C] = 2 + 2 = 4  
**Relax edges from D:** (dist[D] = 3)  
D → T (3): dist[T] = min(7, 3 + 3 = 6) → dist[T] = 6  
**Relax edges from C:** (dist[C] = 4)  
C → T (2): dist[T] = min(6, 4 + 2 = 6) → dist[T] = 6  
So shortest distance from S to T = **6**.
---
## **Step 5 — Find all shortest paths**
We can backtrack from T to find all paths with total weight 6:
**From T, predecessors with correct distances:**  
- dist[D] = 3, edge D→T weight 3: 3 + 3 = 6 ✔  
- dist[C] = 4, edge C→T weight 2: 4 + 2 = 6 ✔  
- dist[A] = 1, edge A→T weight 6: 1 + 6 = 7 ✘ (not shortest)
So T is reachable via D and C with total 6.
**From D:** dist[D] = 3, predecessor:  
- dist[A] = 1, edge A→D weight 2: 1 + 2 = 3 ✔  
So D ← A.
**From C:** dist[C] = 4, predecessor:  
- dist[B] = 2, edge B→C weight 2: 2 + 2 = 4 ✔  
So C ← B.
**From A:** dist[A] = 1, predecessor:  
- dist[S] = 0, edge S→A weight 1: 0 + 1 = 1 ✔  
So A ← S.
**From B:** dist[B] = 2, predecessor:  
- dist[S] = 0, edge S→B weight 2: 0 + 2 = 2 ✔  
So B ← S.
So shortest paths:  
1. S → A → D → T  
2. S → B → C → T  
---
## **Step 6 — Final answer format**
**Minimum total weight:** 6  
**Number of edges in each shortest path:** 3 edges  
**All distinct minimum-weight paths:**
1. **Path:** S → A → D → T  
   **Total weight:** 6  
   **Number of edges:** 3  
2. **Path:** S → B → C → T  
   **Total weight:** 6  
   **Number of edges:** 3  
---
**Explanation of method:**  
- Listed all possible directed paths explicitly.  
- Computed their total weights.  
- Verified with Dijkstra’s algorithm to confirm minimal distance = 6.  
- Used predecessor backtracking to find all paths achieving that distance.  
- Only two such paths exist.</x:v>
      </x:c>
    </x:row>
    <x:row r="29" ht="48" customHeight="1">
      <x:c r="A29" s="29" t="str">
        <x:v>deepseek_B03</x:v>
      </x:c>
      <x:c r="B29" s="30" t="n">
        <x:v>46247.93340252315</x:v>
      </x:c>
      <x:c r="C29" s="29" t="str">
        <x:v>A/B base</x:v>
      </x:c>
      <x:c r="D29" s="29" t="str">
        <x:v>deepseek</x:v>
      </x:c>
      <x:c r="E29" s="29" t="str">
        <x:v>B</x:v>
      </x:c>
      <x:c r="F29" s="29" t="n">
        <x:v>3</x:v>
      </x:c>
      <x:c r="G29" s="29" t="n">
        <x:v>200</x:v>
      </x:c>
      <x:c r="H29" s="29" t="str">
        <x:v>deepseek/deepseek-v3.2-exp</x:v>
      </x:c>
      <x:c r="I29" s="29" t="str">
        <x:v>siliconflow</x:v>
      </x:c>
      <x:c r="J29" s="29" t="str">
        <x:v>deepseek/deepseek-v3.2-exp</x:v>
      </x:c>
      <x:c r="K29" s="29" t="str">
        <x:v>SiliconFlow</x:v>
      </x:c>
      <x:c r="L29" s="29" t="str">
        <x:v>gen-1786659846-RxSuFwVhZIJuh0d7QMW1</x:v>
      </x:c>
      <x:c r="M29" s="29" t="n">
        <x:v>168</x:v>
      </x:c>
      <x:c r="N29" s="29" t="n">
        <x:v>915</x:v>
      </x:c>
      <x:c r="O29" s="29" t="n">
        <x:v>1083</x:v>
      </x:c>
      <x:c r="P29" s="31" t="n">
        <x:v>0.00042051</x:v>
      </x:c>
      <x:c r="Q29" s="32" t="str">
        <x:v>Alright, let’s go step-by-step.
---
## **Step 1 – Understand the graph**
We have nodes: **S, A, B, C, D, T**.
Edges with weights:
1. \( S \to A : 1 \)  
2. \( A \to D : 3 \)  
3. \( D \to T : 3 \)  
4. \( A \to T : 5 \)  
5. \( S \to B : 2 \)  
6. \( B \to C : 2 \)  
7. \( C \to T : 2 \)  
No other edges.
---
## **Step 2 – Enumerate all possible S → T paths**
Let’s list them systematically.
From **S**:
**Branch 1:** via \( S \to A \) (cost 1)  
From A:  
- \( A \to T \) (cost 5) → path \( S \to A \to T \), total \( 1 + 5 = 6 \)  
- \( A \to D \) (cost 3), then \( D \to T \) (cost 3) → path \( S \to A \to D \to T \), total \( 1 + 3 + 3 = 7 \)
**Branch 2:** via \( S \to B \) (cost 2)  
From B:  
- \( B \to C \) (cost 2)  
From C:  
- \( C \to T \) (cost 2) → path \( S \to B \to C \to T \), total \( 2 + 2 + 2 = 6 \)  
No other edges from B or C except B→C and C→T.
---
**All simple S→T paths:**
1. \( S \to A \to T \) : total weight \( 6 \), edges \( 2 \)  
2. \( S \to A \to D \to T \) : total weight \( 7 \), edges \( 3 \)  
3. \( S \to B \to C \to T \) : total weight \( 6 \), edges \( 3 \)  
No other paths:  
- S→B→? B only goes to C, C only goes to T.  
- No edges from D except to T.  
- No edges from T.  
- No edges from C except to T.  
---
## **Step 3 – Identify minimum total weight**
Weights found: \( 6, 7, 6 \)  
Minimum total weight = \( 6 \).
---
## **Step 4 – Distinct minimum-weight paths**
Minimum weight = \( 6 \):
- Path 1: \( S, A, T \) → total \( 6 \), edges \( 2 \)  
- Path 2: \( S, B, C, T \) → total \( 6 \), edges \( 3 \)
Both have total weight \( 6 \).  
Check if any other path weight 6:  
Only these two.
---
## **Step 5 – Verification via Dijkstra (to ensure no shorter)**
Dijkstra from S:
Initial distances: \( dist[S] = 0 \), others \( \infty \).
**Step 1:**  
From S:  
- to A: \( 0+1=1 \) → dist[A] = 1  
- to B: \( 0+2=2 \) → dist[B] = 2  
Queue: A(1), B(2)  
**Step 2:** Process A(1):  
- A→D: \( 1+3=4 \) → dist[D] = 4  
- A→T: \( 1+5=6 \) → dist[T] = 6  
Queue: B(2), D(4), T(6)  
**Step 3:** Process B(2):  
- B→C: \( 2+2=4 \) → dist[C] = 4  
Queue: D(4), C(4), T(6)  
**Step 4:** Process D(4):  
- D→T: \( 4+3=7 \) → not better than 6, so no update.
Queue: C(4), T(6)  
**Step 5:** Process C(4):  
- C→T: \( 4+2=6 \) → equal to current dist[T]=6, so another path to T found with same cost 6: S→B→C→T.
Queue: T(6)  
**Step 6:** Process T(6), done.
---
Shortest distance to T is **6**.  
Predecessors for T at cost 6:  
- From A (cost 1 + 5 = 6)  
- From C (cost 4 + 2 = 6)  
Trace back:  
1. T ← A ← S → \( S, A, T \)  
2. T ← C ← B ← S → \( S, B, C, T \)  
No other predecessors at cost 6.
---
## **Step 6 – Final answer**
**Minimum total weight:** \( 6 \)
**All distinct minimum-total-weight paths from S to T:**
1. **Path:** \( S \to A \to T \)  
   **Total weight:** \( 6 \)  
   **Number of edges:** \( 2 \)  
2. **Path:** \( S \to B \to C \to T \)  
   **Total weight:** \( 6 \)  
   **Number of edges:** \( 3 \)  
---
**Explanation of method:**  
I listed all possible S→T paths by following the given edges, computed each total weight, found the minimum (6), and verified with Dijkstra’s algorithm to ensure no shorter paths and to find all paths achieving that minimum. Dijkstra confirmed two such paths.
---
\[
\boxed{S \to A \to T,\ S \to B \to C \to T}
\]</x:v>
      </x:c>
    </x:row>
    <x:row r="30" ht="48" customHeight="1">
      <x:c r="A30" s="29" t="str">
        <x:v>deepseek_A03</x:v>
      </x:c>
      <x:c r="B30" s="30" t="n">
        <x:v>46247.93380728009</x:v>
      </x:c>
      <x:c r="C30" s="29" t="str">
        <x:v>A/B base</x:v>
      </x:c>
      <x:c r="D30" s="29" t="str">
        <x:v>deepseek</x:v>
      </x:c>
      <x:c r="E30" s="29" t="str">
        <x:v>A</x:v>
      </x:c>
      <x:c r="F30" s="29" t="n">
        <x:v>3</x:v>
      </x:c>
      <x:c r="G30" s="29" t="n">
        <x:v>200</x:v>
      </x:c>
      <x:c r="H30" s="29" t="str">
        <x:v>deepseek/deepseek-v3.2-exp</x:v>
      </x:c>
      <x:c r="I30" s="29" t="str">
        <x:v>siliconflow</x:v>
      </x:c>
      <x:c r="J30" s="29" t="str">
        <x:v>deepseek/deepseek-v3.2-exp</x:v>
      </x:c>
      <x:c r="K30" s="29" t="str">
        <x:v>SiliconFlow</x:v>
      </x:c>
      <x:c r="L30" s="29" t="str">
        <x:v>gen-1786659881-HP1WX6BkIMiQOtFWRykG</x:v>
      </x:c>
      <x:c r="M30" s="29" t="n">
        <x:v>168</x:v>
      </x:c>
      <x:c r="N30" s="29" t="n">
        <x:v>958</x:v>
      </x:c>
      <x:c r="O30" s="29" t="n">
        <x:v>1126</x:v>
      </x:c>
      <x:c r="P30" s="31" t="n">
        <x:v>0.00043814</x:v>
      </x:c>
      <x:c r="Q30" s="32" t="str">
        <x:v>Alright, let’s go step-by-step.
---
## **1. Understanding the graph**
We list the edges with weights:
1. \( S \rightarrow A : 1 \)  
2. \( A \rightarrow D : 2 \)  
3. \( D \rightarrow T : 3 \)  
4. \( A \rightarrow T : 6 \)  
5. \( S \rightarrow B : 2 \)  
6. \( B \rightarrow C : 2 \)  
7. \( C \rightarrow T : 2 \)
No other edges exist. Graph is directed, so only travel in arrow direction.
We want **all distinct minimum-total-weight paths** from \( S \) to \( T \).
---
## **2. Enumerating possible paths from S to T**
From \( S \), we can go to \( A \) (weight 1) or \( B \) (weight 2).
From \( A \), we can go to \( D \) (weight 2) or \( T \) (weight 6).  
From \( D \), only to \( T \) (weight 3).  
From \( B \), only to \( C \) (weight 2).  
From \( C \), only to \( T \) (weight 2).
---
### **Path possibilities:**
**Via A:**
1. \( S \to A \to T \): weight \( 1 + 6 = 7 \)
2. \( S \to A \to D \to T \): weight \( 1 + 2 + 3 = 6 \)
**Via B:**
3. \( S \to B \to C \to T \): weight \( 2 + 2 + 2 = 6 \)
No other paths exist because each node’s outgoing edges are limited.
---
### **Check if any shorter paths:**
We can also check if \( S \to B \to \dots \) has any other branch? No, \( B \) only goes to \( C \), \( C \) only goes to \( T \).
So possible paths are exactly these 3.
---
## **3. Minimum total weight**
Weights:  
Path 1: 7  
Path 2: 6  
Path 3: 6
Minimum weight = **6**.
So the minimum-weight paths are:
1. \( S \to A \to D \to T \) (weight 6)  
2. \( S \to B \to C \to T \) (weight 6)
---
## **4. Verify with Dijkstra (to ensure no shorter)**
Dijkstra from \( S \):
- Start: \( \text{dist}[S] = 0 \), others \( \infty \).
- Process \( S \):  
  - To A: \( 0 + 1 = 1 \) → \( \text{dist}[A] = 1 \), prev[A] = S  
  - To B: \( 0 + 2 = 2 \) → \( \text{dist}[B] = 2 \), prev[B] = S
- Next smallest dist is A (dist 1):  
  - A → D: \( 1 + 2 = 3 \) → \( \text{dist}[D] = 3 \), prev[D] = A  
  - A → T: \( 1 + 6 = 7 \) → \( \text{dist}[T] = 7 \), prev[T] = A
- Next smallest is B (dist 2):  
  - B → C: \( 2 + 2 = 4 \) → \( \text{dist}[C] = 4 \), prev[C] = B
- Next smallest is D (dist 3):  
  - D → T: \( 3 + 3 = 6 \) → \( \text{dist}[T] = 6 \) (better than 7), prev[T] = D
- Next smallest is C (dist 4):  
  - C → T: \( 4 + 2 = 6 \) → \( \text{dist}[T] \) already 6, so another path to T with same distance 6.
---
Final distances:  
\( S:0, A:1, B:2, D:3, C:4, T:6 \)
Minimum distance \( S \to T = 6 \).
---
## **5. Find all shortest paths**
From Dijkstra’s prev pointers we see:
**Path 1:** \( T \leftarrow D \leftarrow A \leftarrow S \)  
\( S \to A \to D \to T \), weight \( 1 + 2 + 3 = 6 \), edges = 3.
**Path 2:** \( T \leftarrow C \leftarrow B \leftarrow S \)  
\( S \to B \to C \to T \), weight \( 2 + 2 + 2 = 6 \), edges = 3.
No other way to get 6? Check:  
Could \( S \to A \to T \) be 6? No, that’s 7.  
Could \( S \to B \to \dots \) other than C? No.  
Could \( S \to A \to D \to \dots \) only to T.  
Could \( S \to B \to C \to \dots \) only to T.
So exactly 2 shortest paths.
---
## **6. Final answer**
**Minimum-total-weight paths from S to T (weight = 6):**
1. **Path:** \( S \to A \to D \to T \)  
   **Total weight:** 6  
   **Number of edges:** 3
2. **Path:** \( S \to B \to C \to T \)  
   **Total weight:** 6  
   **Number of edges:** 3
---
**Method:**  
I listed all possible directed paths from S to T given the limited edges, computed their total weights, identified the minimum weight (6), and verified using Dijkstra’s algorithm for shortest distances and by checking multiple equal-cost routes. Both paths found have same weight (6) and same number of edges (3).</x:v>
      </x:c>
    </x:row>
    <x:row r="31" ht="48" customHeight="1">
      <x:c r="A31" s="29" t="str">
        <x:v>deepseek_A04</x:v>
      </x:c>
      <x:c r="B31" s="30" t="n">
        <x:v>46247.93421903935</x:v>
      </x:c>
      <x:c r="C31" s="29" t="str">
        <x:v>A/B base</x:v>
      </x:c>
      <x:c r="D31" s="29" t="str">
        <x:v>deepseek</x:v>
      </x:c>
      <x:c r="E31" s="29" t="str">
        <x:v>A</x:v>
      </x:c>
      <x:c r="F31" s="29" t="n">
        <x:v>4</x:v>
      </x:c>
      <x:c r="G31" s="29" t="n">
        <x:v>200</x:v>
      </x:c>
      <x:c r="H31" s="29" t="str">
        <x:v>deepseek/deepseek-v3.2-exp</x:v>
      </x:c>
      <x:c r="I31" s="29" t="str">
        <x:v>siliconflow</x:v>
      </x:c>
      <x:c r="J31" s="29" t="str">
        <x:v>deepseek/deepseek-v3.2-exp</x:v>
      </x:c>
      <x:c r="K31" s="29" t="str">
        <x:v>SiliconFlow</x:v>
      </x:c>
      <x:c r="L31" s="29" t="str">
        <x:v>gen-1786659917-0SuVbHCiwMdvrTDh2gcL</x:v>
      </x:c>
      <x:c r="M31" s="29" t="n">
        <x:v>168</x:v>
      </x:c>
      <x:c r="N31" s="29" t="n">
        <x:v>850</x:v>
      </x:c>
      <x:c r="O31" s="29" t="n">
        <x:v>1018</x:v>
      </x:c>
      <x:c r="P31" s="31" t="n">
        <x:v>0.00039386</x:v>
      </x:c>
      <x:c r="Q31" s="32" t="str">
        <x:v>Alright — let's go step-by-step.
---
## **1. Graph representation**
We can list nodes and edges as given:
**Edges with weights:**
1. \( S \to A \) weight \( 1 \)  
2. \( A \to D \) weight \( 2 \)  
3. \( D \to T \) weight \( 3 \)  
4. \( A \to T \) weight \( 6 \)  
5. \( S \to B \) weight \( 2 \)  
6. \( B \to C \) weight \( 2 \)  
7. \( C \to T \) weight \( 2 \)
---
## **2. Path enumeration**
We can manually list all possible directed paths from \( S \) to \( T \):
- **Path 1**: \( S \to A \to T \)  
  Weight: \( 1 + 6 = 7 \)  
  Edges: 2
- **Path 2**: \( S \to A \to D \to T \)  
  Weight: \( 1 + 2 + 3 = 6 \)  
  Edges: 3
- **Path 3**: \( S \to B \to C \to T \)  
  Weight: \( 2 + 2 + 2 = 6 \)  
  Edges: 3
- **Path 4**: \( S \to B \to ??? \)  
  From \( B \), only \( B \to C \) exists, so \( S \to B \to T \) is not possible.
- **Path 5**: \( S \to ??? \)  
  No other edges from \( S \) besides \( S \to A \) and \( S \to B \).
- Check if \( S \to A \to D \to ??? \) — only \( D \to T \) exists, so done.
- Check if \( S \to B \to C \to ??? \) — only \( C \to T \) exists, so done.
---
So possible paths from \( S \) to \( T \) are:
1. \( S \to A \to T \) (weight 7)  
2. \( S \to A \to D \to T \) (weight 6)  
3. \( S \to B \to C \to T \) (weight 6)  
No others.
---
## **3. Finding minimum total weight**
Path weights: \( \{7, 6, 6\} \)  
Minimum weight = \( 6 \).
Minimum-weight paths are:
1. \( S \to A \to D \to T \) (weight 6, edges 3)  
2. \( S \to B \to C \to T \) (weight 6, edges 3)  
---
## **4. Verification via Dijkstra (conceptually)**
We can quickly verify with Dijkstra’s algorithm:
**Step 1**: Start at \( S \), distance 0.  
Neighbors: \( A \) (1), \( B \) (2).  
Dist: \( S=0, A=1, B=2 \).
**Step 2**: Pick \( A \) (dist 1).  
Neighbors from \( A \): \( D \) (1+2=3), \( T \) (1+6=7).  
Dist: \( S=0, A=1, B=2, D=3, T=7 \).
**Step 3**: Pick \( B \) (dist 2).  
Neighbors from \( B \): \( C \) (2+2=4).  
Dist: \( S=0, A=1, B=2, D=3, C=4, T=7 \).
**Step 4**: Pick \( D \) (dist 3).  
Neighbors from \( D \): \( T \) (3+3=6) — better than 7.  
Dist: \( S=0, A=1, B=2, D=3, C=4, T=6 \).
**Step 5**: Pick \( C \) (dist 4).  
Neighbors from \( C \): \( T \) (4+2=6) — equal to current 6, so another shortest path found.
---
Final shortest distance \( S \to T \) = 6.  
Predecessors to \( T \):
- From \( D \) (dist 3, edge weight 3 → total 6)  
- From \( C \) (dist 4, edge weight 2 → total 6)
Backtrack:
- \( T \leftarrow D \leftarrow A \leftarrow S \) → \( S \to A \to D \to T \)  
- \( T \leftarrow C \leftarrow B \leftarrow S \) → \( S \to B \to C \to T \)
---
## **5. Final answer**
**Minimum total weight:** \( 6 \)  
**Number of minimum-weight paths:** 2
**Path 1:**  
- Sequence: \( S \to A \to D \to T \)  
- Total weight: 6  
- Number of edges: 3
**Path 2:**  
- Sequence: \( S \to B \to C \to T \)  
- Total weight: 6  
- Number of edges: 3
---
**Method explained:**  
I listed all directed paths from \( S \) to \( T \) by following the given edges, computed each path’s total weight, then selected those with the minimum total weight (6). Verified with Dijkstra’s algorithm to ensure no shorter paths exist and to find all shortest paths via backtracking.</x:v>
      </x:c>
    </x:row>
    <x:row r="32" ht="48" customHeight="1">
      <x:c r="A32" s="29" t="str">
        <x:v>deepseek_B04</x:v>
      </x:c>
      <x:c r="B32" s="30" t="n">
        <x:v>46247.93459376157</x:v>
      </x:c>
      <x:c r="C32" s="29" t="str">
        <x:v>A/B base</x:v>
      </x:c>
      <x:c r="D32" s="29" t="str">
        <x:v>deepseek</x:v>
      </x:c>
      <x:c r="E32" s="29" t="str">
        <x:v>B</x:v>
      </x:c>
      <x:c r="F32" s="29" t="n">
        <x:v>4</x:v>
      </x:c>
      <x:c r="G32" s="29" t="n">
        <x:v>200</x:v>
      </x:c>
      <x:c r="H32" s="29" t="str">
        <x:v>deepseek/deepseek-v3.2-exp</x:v>
      </x:c>
      <x:c r="I32" s="29" t="str">
        <x:v>siliconflow</x:v>
      </x:c>
      <x:c r="J32" s="29" t="str">
        <x:v>deepseek/deepseek-v3.2-exp</x:v>
      </x:c>
      <x:c r="K32" s="29" t="str">
        <x:v>SiliconFlow</x:v>
      </x:c>
      <x:c r="L32" s="29" t="str">
        <x:v>gen-1786659949-bMnvby55PqZIRTJ44v18</x:v>
      </x:c>
      <x:c r="M32" s="29" t="n">
        <x:v>168</x:v>
      </x:c>
      <x:c r="N32" s="29" t="n">
        <x:v>766</x:v>
      </x:c>
      <x:c r="O32" s="29" t="n">
        <x:v>934</x:v>
      </x:c>
      <x:c r="P32" s="31" t="n">
        <x:v>0.00035942</x:v>
      </x:c>
      <x:c r="Q32" s="32" t="str">
        <x:v>Alright — let’s go step by step.
---
## **1. Graph structure**
Let’s list the edges clearly:
1. \( S \to A \), weight \( 1 \)  
2. \( A \to D \), weight \( 3 \)  
3. \( D \to T \), weight \( 3 \)  
4. \( A \to T \), weight \( 5 \)  
5. \( S \to B \), weight \( 2 \)  
6. \( B \to C \), weight \( 2 \)  
7. \( C \to T \), weight \( 2 \)  
No other edges exist. Graph is directed, so we can’t reverse edges.
---
## **2. All possible paths from \( S \) to \( T \)**
We can enumerate systematically.
**From S:**
- **Via A:**  
  - \( S \to A \to T \) : weight \( 1 + 5 = 6 \)  
  - \( S \to A \to D \to T \) : weight \( 1 + 3 + 3 = 7 \)  
- **Via B:**  
  - \( S \to B \to C \to T \) : weight \( 2 + 2 + 2 = 6 \)  
  (No B → T or B → A etc. exist — only B→C given)  
  - From B, only C; from C, only T. So only \( S \to B \to C \to T \).  
No other nodes: only A and B from S; D only from A; C only from B; T from A, D, C.
So possible distinct simple directed paths from S to T:
1. \( S, A, T \) : weight 6, edges 2  
2. \( S, A, D, T \) : weight 7, edges 3  
3. \( S, B, C, T \) : weight 6, edges 3  
That’s all.
---
## **3. Minimum total weight**
Weights found: \( 6, 7, 6 \)  
Minimum weight = \( 6 \).
Paths with weight 6:  
1. \( S \to A \to T \) (2 edges)  
2. \( S \to B \to C \to T \) (3 edges)  
No other paths with weight 6.
---
## **4. Verification via Dijkstra-like reasoning**
Let’s compute shortest distances from S to each node:
- \( \text{dist}(S) = 0 \)  
- From S:  
  - to A: \( 0 + 1 = 1 \)  
  - to B: \( 0 + 2 = 2 \)  
- From A (dist 1):  
  - to D: \( 1 + 3 = 4 \)  
  - to T: \( 1 + 5 = 6 \)  
- From B (dist 2):  
  - to C: \( 2 + 2 = 4 \)  
- From D (dist 4):  
  - to T: \( 4 + 3 = 7 \)  
- From C (dist 4):  
  - to T: \( 4 + 2 = 6 \)  
So shortest distance to T:  
From A: 6  
From C: 6  
From D: 7  
Thus min distance \( S \to T = 6 \).
---
**Backtracking shortest paths to T:**
- T can be reached from A with total 6, and from C with total 6.  
- Shortest path to A: \( S \to A \) (dist 1)  
- Shortest path to C: \( S \to B \to C \) (dist 4)  
So shortest paths to T:
1. \( S \to A \to T \) (6)  
2. \( S \to B \to C \to T \) (6)  
No other way to get to T with total 6, because:  
- If we go S→A→D→T, that’s 7 &gt; 6.  
- S→B→… only leads to C, then T.  
- No edges from A to C or B to A, etc.
---
## **5. Final answer**
**Distinct minimum-total-weight paths from S to T:**
1. Path: \( S \to A \to T \)  
   Total weight: \( 6 \)  
   Number of edges: \( 2 \)
2. Path: \( S \to B \to C \to T \)  
   Total weight: \( 6 \)  
   Number of edges: \( 3 \)
**Method:**  
Enumerated all simple directed paths from S to T given the edges, computed their total weights, identified minimum weight (6), and listed all achieving it. Verified with Dijkstra’s algorithm for shortest distance to confirm no other min-weight paths exist.</x:v>
      </x:c>
    </x:row>
    <x:row r="33" ht="48" customHeight="1">
      <x:c r="A33" s="29" t="str">
        <x:v>deepseek_A05</x:v>
      </x:c>
      <x:c r="B33" s="30" t="n">
        <x:v>46247.93493887731</x:v>
      </x:c>
      <x:c r="C33" s="29" t="str">
        <x:v>A/B base</x:v>
      </x:c>
      <x:c r="D33" s="29" t="str">
        <x:v>deepseek</x:v>
      </x:c>
      <x:c r="E33" s="29" t="str">
        <x:v>A</x:v>
      </x:c>
      <x:c r="F33" s="29" t="n">
        <x:v>5</x:v>
      </x:c>
      <x:c r="G33" s="29" t="n">
        <x:v>200</x:v>
      </x:c>
      <x:c r="H33" s="29" t="str">
        <x:v>deepseek/deepseek-v3.2-exp</x:v>
      </x:c>
      <x:c r="I33" s="29" t="str">
        <x:v>siliconflow</x:v>
      </x:c>
      <x:c r="J33" s="29" t="str">
        <x:v>deepseek/deepseek-v3.2-exp</x:v>
      </x:c>
      <x:c r="K33" s="29" t="str">
        <x:v>SiliconFlow</x:v>
      </x:c>
      <x:c r="L33" s="29" t="str">
        <x:v>gen-1786659979-jjHddboSnOaWapVRC5cp</x:v>
      </x:c>
      <x:c r="M33" s="29" t="n">
        <x:v>168</x:v>
      </x:c>
      <x:c r="N33" s="29" t="n">
        <x:v>729</x:v>
      </x:c>
      <x:c r="O33" s="29" t="n">
        <x:v>897</x:v>
      </x:c>
      <x:c r="P33" s="31" t="n">
        <x:v>0.00034425</x:v>
      </x:c>
      <x:c r="Q33" s="32" t="str">
        <x:v>Alright, let's go step by step.  
---
## **1. Understanding the graph**
We have vertices: **S, A, B, C, D, T**.
Edges and weights:
1. \( S \to A \) : 1  
2. \( A \to D \) : 2  
3. \( D \to T \) : 3  
4. \( A \to T \) : 6  
5. \( S \to B \) : 2  
6. \( B \to C \) : 2  
7. \( C \to T \) : 2  
No other edges.
---
## **2. Finding shortest paths from S to T**
We can try to find shortest path length using **Dijkstra's algorithm** or **systematic enumeration** since the graph is small.
Let’s list all possible S→T routes:
---
**Path 1:** \( S \to A \to T \)  
Weight = \( 1 + 6 = 7 \)
**Path 2:** \( S \to A \to D \to T \)  
Weight = \( 1 + 2 + 3 = 6 \)
**Path 3:** \( S \to B \to C \to T \)  
Weight = \( 2 + 2 + 2 = 6 \)
**Path 4:** Are there any others?  
- \( S \to B \to ??? \) only goes to C, then C only goes to T.  
- \( S \to A \to D \to ??? \) D only goes to T.  
- \( S \to A \to ??? \) A only goes to D and T.  
- No S→C or S→D directly.  
So only 3 possible simple paths.
---
## **3. Minimum total weight**
Weights:  
Path 1: 7  
Path 2: 6  
Path 3: 6  
So minimum weight = **6**.
---
**Minimum-total-weight paths** are:  
1. \( S \to A \to D \to T \) : weight 6, edges 3  
2. \( S \to B \to C \to T \) : weight 6, edges 3  
Both have total weight 6. No other path has weight 6 or less.
---
## **4. Verification via Dijkstra’s distances**
Let’s compute shortest distances from S:
- \( \text{dist}(S) = 0 \)  
- From S:  
  - to A: 1  
  - to B: 2  
Update dist:  
\( \text{dist}(A) = 1 \)  
\( \text{dist}(B) = 2 \)
From A (dist 1):  
- A→D: \( 1 + 2 = 3 \) → dist(D) = 3  
- A→T: \( 1 + 6 = 7 \) → dist(T) = 7  
From B (dist 2):  
- B→C: \( 2 + 2 = 4 \) → dist(C) = 4  
From D (dist 3):  
- D→T: \( 3 + 3 = 6 \) → dist(T) = min(7, 6) = 6  
From C (dist 4):  
- C→T: \( 4 + 2 = 6 \) → dist(T) = min(6, 6) = 6  
So shortest distance S→T = **6**.
---
**Find all shortest paths (distance 6):**
**From D (dist D = 3) to T:**  
D’s predecessor: A (dist A=1)  
So S→A→D→T is a shortest path.
**From C (dist C = 4) to T:**  
C’s predecessor: B (dist B=2)  
So S→B→C→T is a shortest path.
No other way to get dist(T)=6.
---
## **5. Final answer**
**Minimum total weight paths from S to T:**
1. **Path:** S → A → D → T  
   **Total weight:** 6  
   **Number of edges:** 3  
2. **Path:** S → B → C → T  
   **Total weight:** 6  
   **Number of edges:** 3  
**Method:** Listed all simple S→T paths, computed weights, found minimum weight = 6, identified both paths with weight 6. Verified via Dijkstra’s algorithm distances and predecessor tracing.
---
\[
\boxed{\text{S→A→D→T (6, 3 edges), S→B→C→T (6, 3 edges)}}
\]</x:v>
      </x:c>
    </x:row>
    <x:row r="34" ht="48" customHeight="1">
      <x:c r="A34" s="29" t="str">
        <x:v>deepseek_B05</x:v>
      </x:c>
      <x:c r="B34" s="30" t="n">
        <x:v>46247.9352640625</x:v>
      </x:c>
      <x:c r="C34" s="29" t="str">
        <x:v>A/B base</x:v>
      </x:c>
      <x:c r="D34" s="29" t="str">
        <x:v>deepseek</x:v>
      </x:c>
      <x:c r="E34" s="29" t="str">
        <x:v>B</x:v>
      </x:c>
      <x:c r="F34" s="29" t="n">
        <x:v>5</x:v>
      </x:c>
      <x:c r="G34" s="29" t="n">
        <x:v>200</x:v>
      </x:c>
      <x:c r="H34" s="29" t="str">
        <x:v>deepseek/deepseek-v3.2-exp</x:v>
      </x:c>
      <x:c r="I34" s="29" t="str">
        <x:v>siliconflow</x:v>
      </x:c>
      <x:c r="J34" s="29" t="str">
        <x:v>deepseek/deepseek-v3.2-exp</x:v>
      </x:c>
      <x:c r="K34" s="29" t="str">
        <x:v>SiliconFlow</x:v>
      </x:c>
      <x:c r="L34" s="29" t="str">
        <x:v>gen-1786660007-G4O9mXLqVPSqXHDd6XZD</x:v>
      </x:c>
      <x:c r="M34" s="29" t="n">
        <x:v>168</x:v>
      </x:c>
      <x:c r="N34" s="29" t="n">
        <x:v>931</x:v>
      </x:c>
      <x:c r="O34" s="29" t="n">
        <x:v>1099</x:v>
      </x:c>
      <x:c r="P34" s="31" t="n">
        <x:v>0.00042707</x:v>
      </x:c>
      <x:c r="Q34" s="32" t="str">
        <x:v>Alright, let’s go step-by-step.
---
## **1. Restating the problem**
We have a weighted directed graph:
Edges:
1. \( S \to A : 1 \)  
2. \( A \to D : 3 \)  
3. \( D \to T : 3 \)  
4. \( A \to T : 5 \)  
5. \( S \to B : 2 \)  
6. \( B \to C : 2 \)  
7. \( C \to T : 2 \)
We want **all distinct minimum-total-weight paths** from \( S \) to \( T \).
---
## **2. Listing possible routes**
We can enumerate systematically.
### **From S → A (weight 1)**
From \( A \) we can go:
- \( A \to T \) (weight 5) → total \( 1 + 5 = 6 \)
- \( A \to D \) (weight 3) then \( D \to T \) (weight 3) → total \( 1 + 3 + 3 = 7 \)
So paths starting with \( S \to A \):
1. \( S \to A \to T \) → weight \( 6 \), edges \( 2 \)
2. \( S \to A \to D \to T \) → weight \( 7 \), edges \( 3 \)
---
### **From S → B (weight 2)**
From \( B \) we can go \( B \to C \) (weight 2), then \( C \to T \) (weight 2):
- \( S \to B \to C \to T \) → total \( 2 + 2 + 2 = 6 \), edges \( 3 \)
No other edges from \( B \) or \( C \) except \( C \to T \).
So:
3. \( S \to B \to C \to T \) → weight \( 6 \), edges \( 3 \)
---
### **Check other possibilities?**
No edges \( S \to D \), \( S \to C \), \( S \to T \) directly.  
No edges \( D \to \text{anything} \) except \( D \to T \).  
No edges \( C \to \text{anything} \) except \( C \to T \).
Thus, all possible \( S \to T \) paths are:
1. \( S \to A \to T \) (weight 6, edges 2)  
2. \( S \to A \to D \to T \) (weight 7, edges 3)  
3. \( S \to B \to C \to T \) (weight 6, edges 3)
---
## **3. Finding minimum total weight**
Weights: \( 6, 7, 6 \)  
Minimum weight = \( 6 \).
So minimum-weight paths are:
1. \( S \to A \to T \) (weight 6, edges 2)  
2. \( S \to B \to C \to T \) (weight 6, edges 3)
Both have total weight \( 6 \).
---
## **4. Verification via Dijkstra-like reasoning**
Let’s compute shortest distances from \( S \):
- \( d[S] = 0 \)  
- \( S \to A: 1 \) → \( d[A] = 1 \)  
- \( S \to B: 2 \) → \( d[B] = 2 \)  
- From \( A \):  
  - \( A \to T: 1 + 5 = 6 \) → \( d[T] \) candidate \( 6 \)  
  - \( A \to D: 1 + 3 = 4 \) → \( d[D] = 4 \)  
- From \( B \):  
  - \( B \to C: 2 + 2 = 4 \) → \( d[C] = 4 \)  
- From \( C \):  
  - \( C \to T: 4 + 2 = 6 \) → \( d[T] \) candidate \( 6 \) (same as before)  
- From \( D \):  
  - \( D \to T: 4 + 3 = 7 \) → \( d[T] \) candidate \( 7 \) (not better than 6)
So shortest distance \( S \to T \) is \( 6 \).
---
**How many shortest paths?**
We check predecessors for \( T \):
To get \( d[T] = 6 \):
- From \( A \): \( d[A] = 1 \), edge \( A \to T \) weight 5 → \( 1 + 5 = 6 \) ✓  
- From \( C \): \( d[C] = 4 \), edge \( C \to T \) weight 2 → \( 4 + 2 = 6 \) ✓
Now trace back:
- \( A \) reached only from \( S \) (edge \( S \to A \) weight 1) → path \( S \to A \to T \)  
- \( C \) reached only from \( B \) (edge \( B \to C \) weight 2), and \( B \) reached only from \( S \) (edge \( S \to B \) weight 2) → path \( S \to B \to C \to T \)
No other ways to get \( d[T] = 6 \). So exactly **two** shortest paths.
---
## **5. Final answer**
Minimum-total-weight = \( 6 \)  
Number of such paths = \( 2 \)
**Path 1:**  
- Node sequence: \( S \to A \to T \)  
- Total weight: \( 6 \)  
- Number of edges: \( 2 \)
**Path 2:**  
- Node sequence: \( S \to B \to C \to T \)  
- Total weight: \( 6 \)  
- Number of edges: \( 3 \)
---
**Method summary:** Listed all simple \( S \to T \) paths by edge enumeration, computed total weights, found minimum weight = 6, verified with shortest-path distances to ensure completeness.</x:v>
      </x:c>
    </x:row>
    <x:row r="35" ht="48" customHeight="1">
      <x:c r="A35" s="29" t="str">
        <x:v>claude_C01</x:v>
      </x:c>
      <x:c r="B35" s="30" t="n">
        <x:v>46247.9978244213</x:v>
      </x:c>
      <x:c r="C35" s="29" t="str">
        <x:v>C/D high multiplicity</x:v>
      </x:c>
      <x:c r="D35" s="29" t="str">
        <x:v>claude</x:v>
      </x:c>
      <x:c r="E35" s="29" t="str">
        <x:v>C</x:v>
      </x:c>
      <x:c r="F35" s="29" t="n">
        <x:v>1</x:v>
      </x:c>
      <x:c r="G35" s="29" t="n">
        <x:v>200</x:v>
      </x:c>
      <x:c r="H35" s="29" t="str">
        <x:v>anthropic/claude-sonnet-4.6</x:v>
      </x:c>
      <x:c r="I35" s="29" t="str">
        <x:v>anthropic</x:v>
      </x:c>
      <x:c r="J35" s="29" t="str">
        <x:v>anthropic/claude-sonnet-4.6</x:v>
      </x:c>
      <x:c r="K35" s="29" t="str">
        <x:v>Anthropic</x:v>
      </x:c>
      <x:c r="L35" s="29" t="str">
        <x:v>gen-1786665401-YopBaiIyUV9d8T8szIDe</x:v>
      </x:c>
      <x:c r="M35" s="29" t="n">
        <x:v>175</x:v>
      </x:c>
      <x:c r="N35" s="29" t="n">
        <x:v>692</x:v>
      </x:c>
      <x:c r="O35" s="29" t="n">
        <x:v>867</x:v>
      </x:c>
      <x:c r="P35" s="31" t="n">
        <x:v>0.010905</x:v>
      </x:c>
      <x:c r="Q35" s="32" t="str">
        <x:v>## Method: Dijkstra's Algorithm / Path Enumeration
I'll systematically find all paths from S to T and compute their weights.
---
## Enumerate All Paths from S to T
**Paths through A:**
- S → A → C → T: 1 + 2 + 3 = **6**
- S → A → D → T: 1 + 2 + 3 = **6**
**Paths through B:**
- S → B → C → T: 1 + 2 + 3 = **6**
- S → B → D → T: 1 + 2 + 3 = **6**
**Direct path:**
- S → T: **7**
---
## Dijkstra's Verification
| Step | Visited | Dist[S] | Dist[A] | Dist[B] | Dist[C] | Dist[D] | Dist[T] |
|------|---------|---------|---------|---------|---------|---------|---------|
| Init | {} | 0 | ∞ | ∞ | ∞ | ∞ | ∞ |
| Visit S | {S} | 0 | 1 | 1 | — | — | 7 |
| Visit A (or B, tie) | {S,A} | 0 | 1 | 1 | 3 | 3 | 7 |
| Visit B | {S,A,B} | 0 | 1 | 1 | min(3,3)=3 | min(3,3)=3 | 7 |
| Visit C (or D, tie) | {S,A,B,C} | 0 | 1 | 1 | 3 | 3 | min(7,6)=**6** |
| Visit D | {S,A,B,C,D} | 0 | 1 | 1 | 3 | 3 | min(6,6)=**6** |
| Visit T | done | — | — | — | — | — | **6** |
Minimum distance to T = **6**.
---
## All Minimum-Weight Paths
| Path | Node Sequence | Total Weight | Number of Edges |
|------|--------------|-------------|-----------------|
| 1 | S → A → C → T | 6 | 3 |
| 2 | S → A → D → T | 6 | 3 |
| 3 | S → B → C → T | 6 | 3 |
| 4 | S → B → D → T | 6 | 3 |
All four paths tie at total weight **6** (each using **3 edges**). The direct path S → T costs 7 and is not optimal.</x:v>
      </x:c>
    </x:row>
    <x:row r="36" ht="48" customHeight="1">
      <x:c r="A36" s="29" t="str">
        <x:v>claude_D01</x:v>
      </x:c>
      <x:c r="B36" s="30" t="n">
        <x:v>46247.99795149305</x:v>
      </x:c>
      <x:c r="C36" s="29" t="str">
        <x:v>C/D high multiplicity</x:v>
      </x:c>
      <x:c r="D36" s="29" t="str">
        <x:v>claude</x:v>
      </x:c>
      <x:c r="E36" s="29" t="str">
        <x:v>D</x:v>
      </x:c>
      <x:c r="F36" s="29" t="n">
        <x:v>1</x:v>
      </x:c>
      <x:c r="G36" s="29" t="n">
        <x:v>200</x:v>
      </x:c>
      <x:c r="H36" s="29" t="str">
        <x:v>anthropic/claude-sonnet-4.6</x:v>
      </x:c>
      <x:c r="I36" s="29" t="str">
        <x:v>anthropic</x:v>
      </x:c>
      <x:c r="J36" s="29" t="str">
        <x:v>anthropic/claude-sonnet-4.6</x:v>
      </x:c>
      <x:c r="K36" s="29" t="str">
        <x:v>Anthropic</x:v>
      </x:c>
      <x:c r="L36" s="29" t="str">
        <x:v>gen-1786665413-Ca9ihtpZUDfDqy1h8NKc</x:v>
      </x:c>
      <x:c r="M36" s="29" t="n">
        <x:v>175</x:v>
      </x:c>
      <x:c r="N36" s="29" t="n">
        <x:v>691</x:v>
      </x:c>
      <x:c r="O36" s="29" t="n">
        <x:v>866</x:v>
      </x:c>
      <x:c r="P36" s="31" t="n">
        <x:v>0.01089</x:v>
      </x:c>
      <x:c r="Q36" s="32" t="str">
        <x:v># Finding All Minimum-Weight Paths from S to T
## Method: Dijkstra's Algorithm + Path Enumeration
### Step 1: Find the Shortest Distance using Dijkstra's
**Initialization:**
- dist(S) = 0, all others = ∞
**Processing S** (dist = 0):
- dist(A) = 0+1 = 1
- dist(B) = 0+2 = 2
- dist(C) = 0+1 = 1
- dist(T) = 0+7 = 7
**Processing A** (dist = 1, cheapest unvisited):
- dist(T) via A→T: 1+5 = 6 &lt; 7 → update dist(T) = 6
**Processing C** (dist = 1, tied with A, next cheapest):
- dist(D) via C→D: 1+2 = 3
**Processing B** (dist = 2):
- dist(T) via B→T: 2+4 = 6 = 6 → no change (equal)
- dist(D) via B→D: 2+1 = 3 = 3 → no change (equal)
**Processing D** (dist = 3):
- dist(T) via D→T: 3+3 = 6 = 6 → no change (equal)
**Processing T** (dist = 6): done.
**Final distances:** S=0, A=1, B=2, C=1, D=3, T=6
### Step 2: Enumerate All Paths with Total Weight = 6
I'll check every possible S→T path systematically:
| Path | Edges | Weight |
|------|-------|--------|
| S→T | 1 | 7 |
| S→A→T | 2 | 1+5 = **6** ✓ |
| S→B→T | 2 | 2+4 = **6** ✓ |
| S→B→D→T | 3 | 2+1+3 = **6** ✓ |
| S→C→D→T | 3 | 1+2+3 = **6** ✓ |
No other paths exist (all edge combinations from the given edge list are exhausted).
---
## Result: All Minimum-Weight Paths
| Path | Total Weight | # Edges |
|------|-------------|---------|
| S → A → T | 6 | 2 |
| S → B → T | 6 | 2 |
| S → B → D → T | 6 | 3 |
| S → C → D → T | 6 | 3 |
There are **4 distinct minimum-weight paths**, each with total weight **6**.</x:v>
      </x:c>
    </x:row>
    <x:row r="37" ht="48" customHeight="1">
      <x:c r="A37" s="29" t="str">
        <x:v>claude_D02</x:v>
      </x:c>
      <x:c r="B37" s="30" t="n">
        <x:v>46247.99803729167</x:v>
      </x:c>
      <x:c r="C37" s="29" t="str">
        <x:v>C/D high multiplicity</x:v>
      </x:c>
      <x:c r="D37" s="29" t="str">
        <x:v>claude</x:v>
      </x:c>
      <x:c r="E37" s="29" t="str">
        <x:v>D</x:v>
      </x:c>
      <x:c r="F37" s="29" t="n">
        <x:v>2</x:v>
      </x:c>
      <x:c r="G37" s="29" t="n">
        <x:v>200</x:v>
      </x:c>
      <x:c r="H37" s="29" t="str">
        <x:v>anthropic/claude-sonnet-4.6</x:v>
      </x:c>
      <x:c r="I37" s="29" t="str">
        <x:v>anthropic</x:v>
      </x:c>
      <x:c r="J37" s="29" t="str">
        <x:v>anthropic/claude-sonnet-4.6</x:v>
      </x:c>
      <x:c r="K37" s="29" t="str">
        <x:v>Anthropic</x:v>
      </x:c>
      <x:c r="L37" s="29" t="str">
        <x:v>gen-1786665424-LOlNiXblWrNgPEzCqQF3</x:v>
      </x:c>
      <x:c r="M37" s="29" t="n">
        <x:v>175</x:v>
      </x:c>
      <x:c r="N37" s="29" t="n">
        <x:v>387</x:v>
      </x:c>
      <x:c r="O37" s="29" t="n">
        <x:v>562</x:v>
      </x:c>
      <x:c r="P37" s="31" t="n">
        <x:v>0.00633</x:v>
      </x:c>
      <x:c r="Q37" s="32" t="str">
        <x:v># Shortest Path Analysis: S to T
## Method: Dijkstra's Algorithm + Path Enumeration
I'll find the shortest distance first, then enumerate all paths achieving that distance.
---
## Step 1: Find All Path Weights
Let me enumerate every simple path from S to T and compute its total weight:
| Path | Edge Weights | Total |
|------|-------------|-------|
| S → T | 7 | **7** |
| S → A → T | 1 + 5 | **6** |
| S → B → T | 2 + 4 | **6** |
| S → B → D → T | 2 + 1 + 3 | **6** |
| S → C → D → T | 1 + 2 + 3 | **6** |
---
## Step 2: Verify Minimum
The minimum total weight is **6**.
The path S → T has weight 7 &gt; 6, so it is not minimum.
All other paths achieve weight 6.
---
## Step 3: Results
There are **4 distinct minimum-weight paths**, each with total weight **6**:
| # | Node Sequence | Total Weight | # of Edges |
|---|--------------|-------------|------------|
| 1 | S → A → T | 6 | 2 |
| 2 | S → B → T | 6 | 2 |
| 3 | S → B → D → T | 6 | 3 |
| 4 | S → C → D → T | 6 | 3 |</x:v>
      </x:c>
    </x:row>
    <x:row r="38" ht="48" customHeight="1">
      <x:c r="A38" s="29" t="str">
        <x:v>claude_C02</x:v>
      </x:c>
      <x:c r="B38" s="30" t="n">
        <x:v>46247.99819027778</x:v>
      </x:c>
      <x:c r="C38" s="29" t="str">
        <x:v>C/D high multiplicity</x:v>
      </x:c>
      <x:c r="D38" s="29" t="str">
        <x:v>claude</x:v>
      </x:c>
      <x:c r="E38" s="29" t="str">
        <x:v>C</x:v>
      </x:c>
      <x:c r="F38" s="29" t="n">
        <x:v>2</x:v>
      </x:c>
      <x:c r="G38" s="29" t="n">
        <x:v>200</x:v>
      </x:c>
      <x:c r="H38" s="29" t="str">
        <x:v>anthropic/claude-sonnet-4.6</x:v>
      </x:c>
      <x:c r="I38" s="29" t="str">
        <x:v>anthropic</x:v>
      </x:c>
      <x:c r="J38" s="29" t="str">
        <x:v>anthropic/claude-sonnet-4.6</x:v>
      </x:c>
      <x:c r="K38" s="29" t="str">
        <x:v>Anthropic</x:v>
      </x:c>
      <x:c r="L38" s="29" t="str">
        <x:v>gen-1786665431-opcJBLrpYfMCGKdl8E6l</x:v>
      </x:c>
      <x:c r="M38" s="29" t="n">
        <x:v>175</x:v>
      </x:c>
      <x:c r="N38" s="29" t="n">
        <x:v>741</x:v>
      </x:c>
      <x:c r="O38" s="29" t="n">
        <x:v>916</x:v>
      </x:c>
      <x:c r="P38" s="31" t="n">
        <x:v>0.01164</x:v>
      </x:c>
      <x:c r="Q38" s="32" t="str">
        <x:v>## Method: Dijkstra's Algorithm / Exhaustive Path Enumeration
Since the graph is small, I'll enumerate all distinct paths from S to T and compute their total weights.
---
## Enumerate All Paths S → T
**Direct path:**
| Path | Edges | Total Weight |
|------|-------|--------------|
| S → T | 1 edge | **7** |
**Two-hop paths (S → X → T):** None exist (no intermediate node connects directly to T except C and D, which aren't reachable from S in one hop... let me check: S→A, S→B, S→T only from S)
**Three-hop paths (S → X → Y → T):**
| Path | Weights | Total |
|------|---------|-------|
| S → A → C → T | 1+2+3 | **6** |
| S → A → D → T | 1+2+3 | **6** |
| S → B → C → T | 1+2+3 | **6** |
| S → B → D → T | 1+2+3 | **6** |
**Four-hop paths (S → X → Y → Z → T):** Would require S→A or S→B, then both C and D visited, but C and D don't connect to each other, so no valid 4-hop paths exist.
---
## Dijkstra's Verification
| Step | Visited | Distances |
|------|---------|-----------|
| Start | — | S=0, A=∞, B=∞, C=∞, D=∞, T=∞ |
| Visit S | {S} | A=1, B=1, T=7 |
| Visit A (cost 1) | {S,A} | B=1, C=3, D=3, T=7 |
| Visit B (cost 1) | {S,A,B} | C=3, D=3, T=7 (B→C=3, B→D=3, no improvement) |
| Visit C (cost 3) | {S,A,B,C} | D=3, T=min(7,6)=**6** |
| Visit D (cost 3) | {S,A,B,C,D} | T=min(6,6)=**6** |
| Visit T (cost 6) | done | |
**Minimum distance = 6**, confirming direct path S→T (cost 7) is **not** optimal.
---
## Results
All four minimum-weight paths have total weight **6**:
| Path | Node Sequence | Total Weight | # Edges |
|------|--------------|-------------|---------|
| 1 | S → A → C → T | 6 | 3 |
| 2 | S → A → D → T | 6 | 3 |
| 3 | S → B → C → T | 6 | 3 |
| 4 | S → B → D → T | 6 | 3 |</x:v>
      </x:c>
    </x:row>
    <x:row r="39" ht="48" customHeight="1">
      <x:c r="A39" s="29" t="str">
        <x:v>claude_D03</x:v>
      </x:c>
      <x:c r="B39" s="30" t="n">
        <x:v>46247.99835800926</x:v>
      </x:c>
      <x:c r="C39" s="29" t="str">
        <x:v>C/D high multiplicity</x:v>
      </x:c>
      <x:c r="D39" s="29" t="str">
        <x:v>claude</x:v>
      </x:c>
      <x:c r="E39" s="29" t="str">
        <x:v>D</x:v>
      </x:c>
      <x:c r="F39" s="29" t="n">
        <x:v>3</x:v>
      </x:c>
      <x:c r="G39" s="29" t="n">
        <x:v>200</x:v>
      </x:c>
      <x:c r="H39" s="29" t="str">
        <x:v>anthropic/claude-sonnet-4.6</x:v>
      </x:c>
      <x:c r="I39" s="29" t="str">
        <x:v>anthropic</x:v>
      </x:c>
      <x:c r="J39" s="29" t="str">
        <x:v>anthropic/claude-sonnet-4.6</x:v>
      </x:c>
      <x:c r="K39" s="29" t="str">
        <x:v>Anthropic</x:v>
      </x:c>
      <x:c r="L39" s="29" t="str">
        <x:v>gen-1786665444-Lz2QBbf2vNyrvp3sSos7</x:v>
      </x:c>
      <x:c r="M39" s="29" t="n">
        <x:v>175</x:v>
      </x:c>
      <x:c r="N39" s="29" t="n">
        <x:v>857</x:v>
      </x:c>
      <x:c r="O39" s="29" t="n">
        <x:v>1032</x:v>
      </x:c>
      <x:c r="P39" s="31" t="n">
        <x:v>0.01338</x:v>
      </x:c>
      <x:c r="Q39" s="32" t="str">
        <x:v>## Method: Dijkstra's Algorithm + Path Enumeration
I'll find the shortest distance from S to T, then enumerate all paths achieving that distance.
---
### Step 1: Find Shortest Distances (Dijkstra's from S)
**Initial:** dist = {S:0, A:∞, B:∞, C:∞, D:∞, T:∞}
**Process S** (dist=0):
- S→A: dist[A] = 0+1 = **1**
- S→B: dist[B] = 0+2 = **2**
- S→C: dist[C] = 0+1 = **1**
- S→T: dist[T] = 0+7 = **7**
**Process A** (dist=1) and **C** (dist=1) — tie:
*Process A (dist=1):*
- A→T: dist[T] = min(7, 1+5) = **6**
*Process C (dist=1):*
- C→D: dist[D] = min(∞, 1+2) = **3**
**Process B** (dist=2):
- B→T: dist[T] = min(6, 2+4) = **6** (no change)
- B→D: dist[D] = min(3, 2+1) = **3** (no change)
**Process D** (dist=3):
- D→T: dist[T] = min(6, 3+3) = **6** (no change)
**Process T** (dist=6): done.
**Final distances:** S=0, A=1, C=1, B=2, D=3, T=**6**
---
### Step 2: Enumerate All S→T Paths with Total Weight = 6
I'll check every possible path systematically.
**Direct:**
- S→T: weight 7 ✗
**Through A:**
- S→A→T: 1+5 = **6** ✓
**Through B:**
- S→B→T: 2+4 = **6** ✓
- S→B→D→T: 2+1+3 = **6** ✓
**Through C:**
- S→C→D→T: 1+2+3 = **6** ✓
**Through D directly from S:** no S→D edge.
**Longer paths (checking for completeness):**
- S→A→T is the only A-exit to T.
- S→C→D→T already counted.
- S→B→D→T already counted.
- Any path through both B and C (or A and others) would revisit no nodes but add extra weight: e.g., S→C→D→T = 6, no way to shortcut further.
- Paths of 4+ edges all exceed 6 (e.g., S→C→D→T is already 3 edges at 6; adding any detour increases weight).
---
### Results: All Minimum-Weight Paths (Total Weight = 6)
| # | Node Sequence | Total Weight | Edges |
|---|---------------|-------------|-------|
| 1 | S → A → T | 6 | 2 |
| 2 | S → B → T | 6 | 2 |
| 3 | S → B → D → T | 6 | 3 |
| 4 | S → C → D → T | 6 | 3 |</x:v>
      </x:c>
    </x:row>
    <x:row r="40" ht="48" customHeight="1">
      <x:c r="A40" s="29" t="str">
        <x:v>claude_C03</x:v>
      </x:c>
      <x:c r="B40" s="30" t="n">
        <x:v>46247.99846113426</x:v>
      </x:c>
      <x:c r="C40" s="29" t="str">
        <x:v>C/D high multiplicity</x:v>
      </x:c>
      <x:c r="D40" s="29" t="str">
        <x:v>claude</x:v>
      </x:c>
      <x:c r="E40" s="29" t="str">
        <x:v>C</x:v>
      </x:c>
      <x:c r="F40" s="29" t="n">
        <x:v>3</x:v>
      </x:c>
      <x:c r="G40" s="29" t="n">
        <x:v>200</x:v>
      </x:c>
      <x:c r="H40" s="29" t="str">
        <x:v>anthropic/claude-sonnet-4.6</x:v>
      </x:c>
      <x:c r="I40" s="29" t="str">
        <x:v>anthropic</x:v>
      </x:c>
      <x:c r="J40" s="29" t="str">
        <x:v>anthropic/claude-sonnet-4.6</x:v>
      </x:c>
      <x:c r="K40" s="29" t="str">
        <x:v>Anthropic</x:v>
      </x:c>
      <x:c r="L40" s="29" t="str">
        <x:v>gen-1786665459-tiug3Lq36AIgqAeKFKdJ</x:v>
      </x:c>
      <x:c r="M40" s="29" t="n">
        <x:v>175</x:v>
      </x:c>
      <x:c r="N40" s="29" t="n">
        <x:v>455</x:v>
      </x:c>
      <x:c r="O40" s="29" t="n">
        <x:v>630</x:v>
      </x:c>
      <x:c r="P40" s="31" t="n">
        <x:v>0.00735</x:v>
      </x:c>
      <x:c r="Q40" s="32" t="str">
        <x:v>## Method: Dijkstra's Algorithm / Exhaustive Path Enumeration
Since the graph is small, I'll enumerate all distinct S→T paths and compute their total weights.
---
## Enumerate All S→T Paths
**Paths through A:**
- S→A→C→T: 1+2+3 = **6**
- S→A→D→T: 1+2+3 = **6**
**Paths through B:**
- S→B→C→T: 1+2+3 = **6**
- S→B→D→T: 1+2+3 = **6**
**Direct path:**
- S→T: **7**
*(No other paths exist, since C and D only connect to T, and A/B are only reachable from S.)*
---
## Minimum Weight
The minimum total weight is **6**, achieved by four distinct paths.
---
## All Minimum-Weight Paths
| Path | Node Sequence | Total Weight | Number of Edges |
|------|--------------|-------------|-----------------|
| 1 | S → A → C → T | 6 | 3 |
| 2 | S → A → D → T | 6 | 3 |
| 3 | S → B → C → T | 6 | 3 |
| 4 | S → B → D → T | 6 | 3 |
---
## Verification
Each of these paths uses:
- One edge of weight **1** (S→A or S→B)
- One edge of weight **2** (→C or →D)
- One edge of weight **3** (→T)
- Total: 1+2+3 = **6**
The direct path S→T has weight **7 &gt; 6**, so it is not optimal. All four 3-edge paths tie at the minimum weight of **6**.</x:v>
      </x:c>
    </x:row>
    <x:row r="41" ht="48" customHeight="1">
      <x:c r="A41" s="29" t="str">
        <x:v>claude_C04</x:v>
      </x:c>
      <x:c r="B41" s="30" t="n">
        <x:v>46247.9986046875</x:v>
      </x:c>
      <x:c r="C41" s="29" t="str">
        <x:v>C/D high multiplicity</x:v>
      </x:c>
      <x:c r="D41" s="29" t="str">
        <x:v>claude</x:v>
      </x:c>
      <x:c r="E41" s="29" t="str">
        <x:v>C</x:v>
      </x:c>
      <x:c r="F41" s="29" t="n">
        <x:v>4</x:v>
      </x:c>
      <x:c r="G41" s="29" t="n">
        <x:v>200</x:v>
      </x:c>
      <x:c r="H41" s="29" t="str">
        <x:v>anthropic/claude-sonnet-4.6</x:v>
      </x:c>
      <x:c r="I41" s="29" t="str">
        <x:v>anthropic</x:v>
      </x:c>
      <x:c r="J41" s="29" t="str">
        <x:v>anthropic/claude-sonnet-4.6</x:v>
      </x:c>
      <x:c r="K41" s="29" t="str">
        <x:v>Anthropic</x:v>
      </x:c>
      <x:c r="L41" s="29" t="str">
        <x:v>gen-1786665468-cVarXnxAVKQM6dCbxWaZ</x:v>
      </x:c>
      <x:c r="M41" s="29" t="n">
        <x:v>175</x:v>
      </x:c>
      <x:c r="N41" s="29" t="n">
        <x:v>741</x:v>
      </x:c>
      <x:c r="O41" s="29" t="n">
        <x:v>916</x:v>
      </x:c>
      <x:c r="P41" s="31" t="n">
        <x:v>0.01164</x:v>
      </x:c>
      <x:c r="Q41" s="32" t="str">
        <x:v>## Method: Dijkstra's Algorithm / Path Enumeration
I'll systematically find all paths from S to T and calculate their weights.
---
## Enumerate All Paths S → T
**Direct path:**
- S → T: weight = 7, edges = 1
**Two-hop paths (through A or B):**
- S → A → ? → T: but A doesn't connect directly to T
- S → B → ? → T: but B doesn't connect directly to T
**Three-hop paths (S → {A,B} → {C,D} → T):**
| Path | Weights | Total |
|------|---------|-------|
| S → A → C → T | 1 + 2 + 3 | **6** |
| S → A → D → T | 1 + 2 + 3 | **6** |
| S → B → C → T | 1 + 2 + 3 | **6** |
| S → B → D → T | 1 + 2 + 3 | **6** |
No longer paths exist (no other edges).
---
## Dijkstra Verification
| Step | Visited | dist[S]=0 | dist[A] | dist[B] | dist[C] | dist[D] | dist[T] |
|------|---------|-----------|---------|---------|---------|---------|---------|
| Init | {} | 0 | ∞ | ∞ | ∞ | ∞ | ∞ |
| Pop S | {S} | 0 | 1 | 1 | — | — | 7 |
| Pop A (or B, tie) | {S,A} | — | 1 | 1 | 3 | 3 | 7 |
| Pop B | {S,A,B} | — | — | 1 | 3 | 3 | 7 |
| Pop C (or D, tie) | {S,A,B,C} | — | — | — | 3 | 3 | **6** |
| Pop D | {S,A,B,C,D} | — | — | — | — | 3 | **6** |
| Pop T | done | — | — | — | — | — | **6** |
Shortest distance = **6**, which is less than the direct path weight of 7.
---
## Results
All four paths achieve the minimum total weight of **6**:
| # | Node Sequence | Total Weight | # of Edges |
|---|--------------|-------------|------------|
| 1 | S → A → C → T | 6 | 3 |
| 2 | S → A → D → T | 6 | 3 |
| 3 | S → B → C → T | 6 | 3 |
| 4 | S → B → D → T | 6 | 3 |
The direct path S → T has weight **7** and is **not** a minimum-weight path.</x:v>
      </x:c>
    </x:row>
    <x:row r="42" ht="48" customHeight="1">
      <x:c r="A42" s="29" t="str">
        <x:v>claude_D04</x:v>
      </x:c>
      <x:c r="B42" s="30" t="n">
        <x:v>46247.998723703706</x:v>
      </x:c>
      <x:c r="C42" s="29" t="str">
        <x:v>C/D high multiplicity</x:v>
      </x:c>
      <x:c r="D42" s="29" t="str">
        <x:v>claude</x:v>
      </x:c>
      <x:c r="E42" s="29" t="str">
        <x:v>D</x:v>
      </x:c>
      <x:c r="F42" s="29" t="n">
        <x:v>4</x:v>
      </x:c>
      <x:c r="G42" s="29" t="n">
        <x:v>200</x:v>
      </x:c>
      <x:c r="H42" s="29" t="str">
        <x:v>anthropic/claude-sonnet-4.6</x:v>
      </x:c>
      <x:c r="I42" s="29" t="str">
        <x:v>anthropic</x:v>
      </x:c>
      <x:c r="J42" s="29" t="str">
        <x:v>anthropic/claude-sonnet-4.6</x:v>
      </x:c>
      <x:c r="K42" s="29" t="str">
        <x:v>Anthropic</x:v>
      </x:c>
      <x:c r="L42" s="29" t="str">
        <x:v>gen-1786665480-SJTXmKoGBUNo2ScvkALw</x:v>
      </x:c>
      <x:c r="M42" s="29" t="n">
        <x:v>175</x:v>
      </x:c>
      <x:c r="N42" s="29" t="n">
        <x:v>623</x:v>
      </x:c>
      <x:c r="O42" s="29" t="n">
        <x:v>798</x:v>
      </x:c>
      <x:c r="P42" s="31" t="n">
        <x:v>0.00987</x:v>
      </x:c>
      <x:c r="Q42" s="32" t="str">
        <x:v># Finding Minimum-Weight Paths from S to T
## Method: Dijkstra's Algorithm + Path Enumeration
### Step 1: Find the shortest distance from S to T
**Initialize:** dist[S]=0, all others=∞
**Process S** (dist=0), relax neighbors:
- dist[A] = 0+1 = 1
- dist[B] = 0+2 = 2
- dist[C] = 0+1 = 1
- dist[T] = 0+7 = 7
**Process A** (dist=1), relax neighbors:
- dist[T] = min(7, 1+5) = 6
**Process C** (dist=1), relax neighbors:
- dist[D] = min(∞, 1+2) = 3
**Process B** (dist=2), relax neighbors:
- dist[T] = min(6, 2+4) = 6
- dist[D] = min(3, 2+1) = 3
**Process D** (dist=3), relax neighbors:
- dist[T] = min(6, 3+3) = 6
**Process T** (dist=6): done.
**Shortest distance = 6**
---
### Step 2: Enumerate all paths with total weight = 6
List every S→T path and compute its weight:
| Path | Edge weights | Total |
|------|-------------|-------|
| S→T | 7 | 7 |
| S→A→T | 1+5 | **6** ✓ |
| S→B→T | 2+4 | **6** ✓ |
| S→B→D→T | 2+1+3 | **6** ✓ |
| S→C→D→T | 1+2+3 | **6** ✓ |
(No other simple paths exist — S→C has no edge to T directly, and S→C→D is already counted.)
---
## Results
All four paths below tie for the minimum total weight of **6**:
| # | Node Sequence | Total Weight | Number of Edges |
|---|---------------|:------------:|:---------------:|
| 1 | S → A → T | 6 | 2 |
| 2 | S → B → T | 6 | 2 |
| 3 | S → B → D → T | 6 | 3 |
| 4 | S → C → D → T | 6 | 3 |</x:v>
      </x:c>
    </x:row>
    <x:row r="43" ht="48" customHeight="1">
      <x:c r="A43" s="29" t="str">
        <x:v>claude_C05</x:v>
      </x:c>
      <x:c r="B43" s="30" t="n">
        <x:v>46247.99883157408</x:v>
      </x:c>
      <x:c r="C43" s="29" t="str">
        <x:v>C/D high multiplicity</x:v>
      </x:c>
      <x:c r="D43" s="29" t="str">
        <x:v>claude</x:v>
      </x:c>
      <x:c r="E43" s="29" t="str">
        <x:v>C</x:v>
      </x:c>
      <x:c r="F43" s="29" t="n">
        <x:v>5</x:v>
      </x:c>
      <x:c r="G43" s="29" t="n">
        <x:v>200</x:v>
      </x:c>
      <x:c r="H43" s="29" t="str">
        <x:v>anthropic/claude-sonnet-4.6</x:v>
      </x:c>
      <x:c r="I43" s="29" t="str">
        <x:v>anthropic</x:v>
      </x:c>
      <x:c r="J43" s="29" t="str">
        <x:v>anthropic/claude-sonnet-4.6</x:v>
      </x:c>
      <x:c r="K43" s="29" t="str">
        <x:v>Anthropic</x:v>
      </x:c>
      <x:c r="L43" s="29" t="str">
        <x:v>gen-1786665491-D3FN92oG2dwFDfGCzJN1</x:v>
      </x:c>
      <x:c r="M43" s="29" t="n">
        <x:v>175</x:v>
      </x:c>
      <x:c r="N43" s="29" t="n">
        <x:v>576</x:v>
      </x:c>
      <x:c r="O43" s="29" t="n">
        <x:v>751</x:v>
      </x:c>
      <x:c r="P43" s="31" t="n">
        <x:v>0.009165</x:v>
      </x:c>
      <x:c r="Q43" s="32" t="str">
        <x:v># Shortest Path Analysis: S to T
## Method: Dijkstra's Algorithm + Path Enumeration
### Step 1: Find All Paths from S to T
Let me enumerate all possible paths:
| Path | Edges | Total Weight |
|------|-------|-------------|
| S → T | 1 edge | 7 |
| S → A → C → T | 3 edges | 1+2+3 = **6** |
| S → A → D → T | 3 edges | 1+2+3 = **6** |
| S → B → C → T | 3 edges | 1+2+3 = **6** |
| S → B → D → T | 3 edges | 1+2+3 = **6** |
### Step 2: Dijkstra's Verification
Starting from S:
- **d(S) = 0**
- d(A) = 0+1 = 1, d(B) = 0+1 = 1, d(T) = 0+7 = 7
- Process A (d=1): d(C) = 1+2 = 3, d(D) = 1+2 = 3
- Process B (d=1): d(C) = min(3, 1+2) = 3, d(D) = min(3, 1+2) = 3
- Process C (d=3): d(T) = min(7, 3+3) = **6**
- Process D (d=3): d(T) = min(6, 3+3) = **6**
- Process T (d=6): done
**Minimum distance = 6**
### Step 3: Results
All paths with total weight 6:
| Path | Total Weight | Number of Edges |
|------|-------------|-----------------|
| S → A → C → T | 6 | 3 |
| S → A → D → T | 6 | 3 |
| S → B → C → T | 6 | 3 |
| S → B → D → T | 6 | 3 |
The direct path S → T has weight 7 &gt; 6, so it is **not** a minimum-weight path.
There are **4 distinct minimum-weight paths**, each with total weight **6** and **3 edges**.</x:v>
      </x:c>
    </x:row>
    <x:row r="44" ht="48" customHeight="1">
      <x:c r="A44" s="29" t="str">
        <x:v>claude_D05</x:v>
      </x:c>
      <x:c r="B44" s="30" t="n">
        <x:v>46247.9989787963</x:v>
      </x:c>
      <x:c r="C44" s="29" t="str">
        <x:v>C/D high multiplicity</x:v>
      </x:c>
      <x:c r="D44" s="29" t="str">
        <x:v>claude</x:v>
      </x:c>
      <x:c r="E44" s="29" t="str">
        <x:v>D</x:v>
      </x:c>
      <x:c r="F44" s="29" t="n">
        <x:v>5</x:v>
      </x:c>
      <x:c r="G44" s="29" t="n">
        <x:v>200</x:v>
      </x:c>
      <x:c r="H44" s="29" t="str">
        <x:v>anthropic/claude-sonnet-4.6</x:v>
      </x:c>
      <x:c r="I44" s="29" t="str">
        <x:v>anthropic</x:v>
      </x:c>
      <x:c r="J44" s="29" t="str">
        <x:v>anthropic/claude-sonnet-4.6</x:v>
      </x:c>
      <x:c r="K44" s="29" t="str">
        <x:v>Anthropic</x:v>
      </x:c>
      <x:c r="L44" s="29" t="str">
        <x:v>gen-1786665500-ZKjTtuObFpvxeUXkbQ5V</x:v>
      </x:c>
      <x:c r="M44" s="29" t="n">
        <x:v>175</x:v>
      </x:c>
      <x:c r="N44" s="29" t="n">
        <x:v>907</x:v>
      </x:c>
      <x:c r="O44" s="29" t="n">
        <x:v>1082</x:v>
      </x:c>
      <x:c r="P44" s="31" t="n">
        <x:v>0.01413</x:v>
      </x:c>
      <x:c r="Q44" s="32" t="str">
        <x:v># Finding All Minimum-Weight Paths from S to T
## Method: Dijkstra's Algorithm + Path Enumeration
### Step 1: Find the Shortest Distance to T
Run Dijkstra from S, tracking distances to each node.
**Initial:** dist = {S:0, A:∞, B:∞, C:∞, D:∞, T:∞}
**Process S** (dist=0), relax edges:
- S→A: dist[A] = min(∞, 0+1) = **1**
- S→B: dist[B] = min(∞, 0+2) = **2**
- S→C: dist[C] = min(∞, 0+1) = **1**
- S→T: dist[T] = min(∞, 0+7) = **7**
**Process A** (dist=1), relax edges:
- A→T: dist[T] = min(7, 1+5) = **6**
**Process C** (dist=1), relax edges:
- C→D: dist[D] = min(∞, 1+2) = **3**
**Process B** (dist=2), relax edges:
- B→T: dist[T] = min(6, 2+4) = **6**
- B→D: dist[D] = min(3, 2+1) = **3**
**Process D** (dist=3), relax edges:
- D→T: dist[T] = min(6, 3+3) = **6**
**Process T** (dist=6). Done.
**Final distances:** S=0, A=1, C=1, B=2, D=3, T=6
---
### Step 2: Enumerate All Paths Achieving Weight 6
A path qualifies if each edge lies on the "shortest-path DAG," i.e., dist[u] + w(u,v) = dist[v].
**Check each edge:**
| Edge | dist[u]+w | dist[v] | On SP DAG? |
|------|-----------|---------|------------|
| S→A: 0+1=1 | 1 | ✓ |
| A→T: 1+5=6 | 6 | ✓ |
| S→B: 0+2=2 | 2 | ✓ |
| B→T: 2+4=6 | 6 | ✓ |
| B→D: 2+1=3 | 3 | ✓ |
| S→C: 0+1=1 | 1 | ✓ |
| C→D: 1+2=3 | 3 | ✓ |
| D→T: 3+3=6 | 6 | ✓ |
| S→T: 0+7=7 | 6 | ✗ |
**Trace all paths through the SP DAG:**
- S→A→T
- S→B→T
- S→B→D→T
- S→C→D→T
---
### Results
| Path | Total Weight | Number of Edges |
|------|-------------|-----------------|
| S → A → T | 1+5 = **6** | 2 |
| S → B → T | 2+4 = **6** | 2 |
| S → B → D → T | 2+1+3 = **6** | 3 |
| S → C → D → T | 1+2+3 = **6** | 3 |
**All four paths are minimum-weight paths with total weight 6.**</x:v>
      </x:c>
    </x:row>
    <x:row r="45" ht="48" customHeight="1">
      <x:c r="A45" s="29" t="str">
        <x:v>mistral_C01</x:v>
      </x:c>
      <x:c r="B45" s="30" t="n">
        <x:v>46247.99932915509</x:v>
      </x:c>
      <x:c r="C45" s="29" t="str">
        <x:v>C/D high multiplicity</x:v>
      </x:c>
      <x:c r="D45" s="29" t="str">
        <x:v>mistral</x:v>
      </x:c>
      <x:c r="E45" s="29" t="str">
        <x:v>C</x:v>
      </x:c>
      <x:c r="F45" s="29" t="n">
        <x:v>1</x:v>
      </x:c>
      <x:c r="G45" s="29" t="n">
        <x:v>200</x:v>
      </x:c>
      <x:c r="H45" s="29" t="str">
        <x:v>mistralai/mistral-large-2512</x:v>
      </x:c>
      <x:c r="I45" s="29" t="str">
        <x:v>mistral</x:v>
      </x:c>
      <x:c r="J45" s="29" t="str">
        <x:v>mistralai/mistral-large-2512</x:v>
      </x:c>
      <x:c r="K45" s="29" t="str">
        <x:v>Mistral</x:v>
      </x:c>
      <x:c r="L45" s="29" t="str">
        <x:v>gen-1786665512-arjNl42v59icGKPI6d7i</x:v>
      </x:c>
      <x:c r="M45" s="29" t="n">
        <x:v>162</x:v>
      </x:c>
      <x:c r="N45" s="29" t="n">
        <x:v>2693</x:v>
      </x:c>
      <x:c r="O45" s="29" t="n">
        <x:v>2855</x:v>
      </x:c>
      <x:c r="P45" s="31" t="n">
        <x:v>0.0041205</x:v>
      </x:c>
      <x:c r="Q45" s="32" t="str">
        <x:v>### Understanding the Problem
We are given a directed, weighted graph with nodes and edges as follows:
- **Nodes**: S, A, B, C, D, T
- **Edges and Weights**:
  - S → A: 1
  - S → B: 1
  - A → C: 2
  - A → D: 2
  - B → C: 2
  - B → D: 2
  - C → T: 3
  - D → T: 3
  - S → T: 7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**shortest path algorithm** that not only finds the shortest path but also keeps track of all paths that achieve this minimum weight. The **Dijkstra's algorithm** is suitable for this purpose, especially since all edge weights are positive.
However, since we need to find **all** minimum-weight paths, we'll need to modify the standard Dijkstra's algorithm slightly to keep track of all paths that reach a node with the same minimum distance.
Here's the step-by-step method:
1. **Initialize**:
   - Assign a distance of 0 to the start node S.
   - Assign infinity to all other nodes initially.
   - Keep a priority queue (or a list) to process nodes in order of increasing distance from S.
   - Maintain a list of paths to each node, especially those that achieve the minimum distance.
2. **Process Nodes**:
   - Extract the node with the smallest current distance from the priority queue.
   - For each neighbor of this node, calculate the new distance via the current node.
   - If this new distance is less than the previously known distance, update the distance and record the new path.
   - If the new distance equals the previously known distance, add the new path to the list of paths for that node.
3. **Termination**:
   - The algorithm terminates when the priority queue is empty.
   - The distance to T will be the minimum weight, and the paths recorded for T will be all the minimum-weight paths.
### Applying the Method to the Given Graph
Let's apply this method step by step.
**Initialization**:
- Distance to S: 0
- Distance to A, B, C, D, T: ∞
- Priority queue: [(S, 0)]
- Paths:
  - S: [ [S] ]
**Step 1: Process S (distance = 0)**
- Neighbors of S: A, B, T
  - S → A: distance = 0 + 1 = 1
    - Update A's distance to 1
    - Paths to A: [ [S, A] ]
  - S → B: distance = 0 + 1 = 1
    - Update B's distance to 1
    - Paths to B: [ [S, B] ]
  - S → T: distance = 0 + 7 = 7
    - Update T's distance to 7
    - Paths to T: [ [S, T] ]
- Priority queue after processing S: [(A, 1), (B, 1), (T, 7)]
- Paths:
  - S: [ [S] ]
  - A: [ [S, A] ]
  - B: [ [S, B] ]
  - T: [ [S, T] ]
**Step 2: Process A (distance = 1)**
- Neighbors of A: C, D
  - A → C: distance = 1 + 2 = 3
    - C's current distance is ∞, update to 3
    - Paths to C: [ [S, A, C] ]
  - A → D: distance = 1 + 2 = 3
    - D's current distance is ∞, update to 3
    - Paths to D: [ [S, A, D] ]
- Priority queue after processing A: [(B, 1), (T, 7), (C, 3), (D, 3)]
- Paths:
  - S: [ [S] ]
  - A: [ [S, A] ]
  - B: [ [S, B] ]
  - C: [ [S, A, C] ]
  - D: [ [S, A, D] ]
  - T: [ [S, T] ]
**Step 3: Process B (distance = 1)**
- Neighbors of B: C, D
  - B → C: distance = 1 + 2 = 3
    - C's current distance is 3, which equals the new distance
    - Add new path to C: [ [S, B, C] ]
    - Paths to C: [ [S, A, C], [S, B, C] ]
  - B → D: distance = 1 + 2 = 3
    - D's current distance is 3, which equals the new distance
    - Add new path to D: [ [S, B, D] ]
    - Paths to D: [ [S, A, D], [S, B, D] ]
- Priority queue after processing B: [(T, 7), (C, 3), (D, 3)]
- Paths:
  - S: [ [S] ]
  - A: [ [S, A] ]
  - B: [ [S, B] ]
  - C: [ [S, A, C], [S, B, C] ]
  - D: [ [S, A, D], [S, B, D] ]
  - T: [ [S, T] ]
**Step 4: Process C (distance = 3)**
- Neighbor of C: T
  - C → T: distance = 3 + 3 = 6
    - T's current distance is 7, which is greater than 6
    - Update T's distance to 6
    - Paths to T: [ [S, A, C, T], [S, B, C, T] ]
- Priority queue after processing C: [(D, 3), (T, 6)]
- Paths:
  - S: [ [S] ]
  - A: [ [S, A] ]
  - B: [ [S, B] ]
  - C: [ [S, A, C], [S, B, C] ]
  - D: [ [S, A, D], [S, B, D] ]
  - T: [ [S, A, C, T], [S, B, C, T] ]
**Step 5: Process D (distance = 3)**
- Neighbor of D: T
  - D → T: distance = 3 + 3 = 6
    - T's current distance is 6, which equals the new distance
    - Add new paths to T: [ [S, A, D, T], [S, B, D, T] ]
    - Paths to T: [ [S, A, C, T], [S, B, C, T], [S, A, D, T], [S, B, D, T] ]
- Priority queue after processing D: [(T, 6)]
- Paths:
  - S: [ [S] ]
  - A: [ [S, A] ]
  - B: [ [S, B] ]
  - C: [ [S, A, C], [S, B, C] ]
  - D: [ [S, A, D], [S, B, D] ]
  - T: [ [S, A, C, T], [S, B, C, T], [S, A, D, T], [S, B, D, T] ]
**Step 6: Process T (distance = 6)**
- T has no outgoing edges, so nothing to process.
- Priority queue is now empty.
### Identifying Minimum-Weight Paths
From the above steps, the distance to T is 6, and the paths to T with this distance are:
1. S → A → C → T
2. S → B → C → T
3. S → A → D → T
4. S → B → D → T
The path S → T has a weight of 7, which is greater than 6, so it's not a minimum-weight path.
### Verifying the Paths
Let's calculate the total weight for each of the four paths to ensure they all sum to 6:
1. **S → A → C → T**:
   - S → A: 1
   - A → C: 2
   - C → T: 3
   - Total: 1 + 2 + 3 = 6
2. **S → B → C → T**:
   - S → B: 1
   - B → C: 2
   - C → T: 3
   - Total: 1 + 2 + 3 = 6
3. **S → A → D → T**:
   - S → A: 1
   - A → D: 2
   - D → T: 3
   - Total: 1 + 2 + 3 = 6
4. **S → B → D → T**:
   - S → B: 1
   - B → D: 2
   - D → T: 3
   - Total: 1 + 2 + 3 = 6
All four paths indeed have a total weight of 6, which is less than the direct path S → T (weight 7).
### Counting the Number of Edges
For each path, the number of edges is one less than the number of nodes in the sequence:
1. **S → A → C → T**: 3 nodes → 2 edges
2. **S → B → C → T**: 3 nodes → 2 edges
3. **S → A → D → T**: 3 nodes → 2 edges
4. **S → B → D → T**: 3 nodes → 2 edges
However, upon closer inspection, each path has 4 nodes (including S and T), so the number of edges is 3. Let me correct that:
- Path: S → A → C → T
  - Nodes: S, A, C, T → 4 nodes
  - Edges: S→A, A→C, C→T → 3 edges
Similarly for the other paths.
### Final Answer
All distinct minimum-total-weight paths from S to T are as follows:
1. **Path**: S → A → C → T
   - **Total Weight**: 6
   - **Number of Edges**: 3
2. **Path**: S → B → C → T
   - **Total Weight**: 6
   - **Number of Edges**: 3
3. **Path**: S → A → D → T
   - **Total Weight**: 6
   - **Number of Edges**: 3
4. **Path**: S → B → D → T
   - **Total Weight**: 6
   - **Number of Edges**: 3
### Summary of Method
1. **Initialization**: Start with the source node S, setting its distance to 0 and others to infinity.
2. **Processing Nodes**: Use a priority queue to process nodes in order of increasing distance from S.
3. **Updating Distances and Paths**: For each neighbor of the current node, calculate the new distance. If it's less than the known distance, update the distance and record the new path. If equal, add the new path to the list.
4. **Termination**: The algorithm ends when all nodes are processed. The paths to T with the smallest distance are the minimum-weight paths.
This method ensures that we find all paths with the minimum total weight from S to T. In this graph, there are four such paths, each with a total weight of 6 and consisting of 3 edges.</x:v>
      </x:c>
    </x:row>
    <x:row r="46" ht="48" customHeight="1">
      <x:c r="A46" s="29" t="str">
        <x:v>mistral_D01</x:v>
      </x:c>
      <x:c r="B46" s="30" t="n">
        <x:v>46247.99954258102</x:v>
      </x:c>
      <x:c r="C46" s="29" t="str">
        <x:v>C/D high multiplicity</x:v>
      </x:c>
      <x:c r="D46" s="29" t="str">
        <x:v>mistral</x:v>
      </x:c>
      <x:c r="E46" s="29" t="str">
        <x:v>D</x:v>
      </x:c>
      <x:c r="F46" s="29" t="n">
        <x:v>1</x:v>
      </x:c>
      <x:c r="G46" s="29" t="n">
        <x:v>200</x:v>
      </x:c>
      <x:c r="H46" s="29" t="str">
        <x:v>mistralai/mistral-large-2512</x:v>
      </x:c>
      <x:c r="I46" s="29" t="str">
        <x:v>mistral</x:v>
      </x:c>
      <x:c r="J46" s="29" t="str">
        <x:v>mistralai/mistral-large-2512</x:v>
      </x:c>
      <x:c r="K46" s="29" t="str">
        <x:v>Mistral</x:v>
      </x:c>
      <x:c r="L46" s="29" t="str">
        <x:v>gen-1786665543-5G9BCDJv7LetbeBkJyAM</x:v>
      </x:c>
      <x:c r="M46" s="29" t="n">
        <x:v>162</x:v>
      </x:c>
      <x:c r="N46" s="29" t="n">
        <x:v>1471</x:v>
      </x:c>
      <x:c r="O46" s="29" t="n">
        <x:v>1633</x:v>
      </x:c>
      <x:c r="P46" s="31" t="n">
        <x:v>0.0022875</x:v>
      </x:c>
      <x:c r="Q46" s="32" t="str">
        <x:v>### Understanding the Problem
We are given a directed, weighted graph with nodes and edges as follows:
- **Nodes**: S, A, B, C, D, T
- **Edges and Weights**:
  - S → A: 1
  - A → T: 5
  - S → B: 2
  - B → T: 4
  - B → D: 1
  - S → C: 1
  - C → D: 2
  - D → T: 3
  - S → T: 7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with priority** that keeps track of all paths with the current minimum weight. Here's the general approach:
1. **Initialize**: Start from node S with a current weight of 0.
2. **Explore**: For each node, explore all outgoing edges, keeping track of the cumulative weight to reach the next node.
3. **Track Paths**: Maintain a list of paths and their total weights. When reaching T, record the path if its weight is the smallest found so far. If a path with a smaller weight is found later, discard previous paths.
4. **Terminate**: Once all possible paths have been explored up to the current minimum weight, terminate and report all paths with that minimum weight.
Alternatively, since the graph is small, we can enumerate all possible paths from S to T and then select those with the minimum weight.
### Enumerating All Paths from S to T
Let's list all possible paths from S to T and calculate their total weights.
1. **Direct Path**:
   - S → T
   - Weight: 7
   - Edges: 1
2. **Paths with one intermediate node**:
   - S → A → T
     - Weight: 1 (S→A) + 5 (A→T) = 6
     - Edges: 2
   - S → B → T
     - Weight: 2 (S→B) + 4 (B→T) = 6
     - Edges: 2
   - S → C → ? (No edge from C to T, so this path cannot reach T directly)
     - S → C → D → T
     - This is a path with two intermediate nodes, not one.
3. **Paths with two intermediate nodes**:
   - S → B → D → T
     - Weight: 2 (S→B) + 1 (B→D) + 3 (D→T) = 6
     - Edges: 3
   - S → C → D → T
     - Weight: 1 (S→C) + 2 (C→D) + 3 (D→T) = 6
     - Edges: 3
4. **Other Paths**:
   - Are there paths with more than two intermediate nodes? Let's check:
     - S → A → ? (No outgoing edges from A except to T, which we've already considered)
     - S → B → A → ? (No edge from B to A)
     - S → C → B → ? (No edge from C to B)
     - So, no paths with more than two intermediate nodes exist.
### Listing All Paths and Their Weights
Here's the complete list of all possible paths from S to T along with their total weights and number of edges:
1. S → T
   - Weight: 7
   - Edges: 1
2. S → A → T
   - Weight: 1 + 5 = 6
   - Edges: 2
3. S → B → T
   - Weight: 2 + 4 = 6
   - Edges: 2
4. S → B → D → T
   - Weight: 2 + 1 + 3 = 6
   - Edges: 3
5. S → C → D → T
   - Weight: 1 + 2 + 3 = 6
   - Edges: 3
### Identifying Minimum-Weight Paths
From the above, the weights are: 7, 6, 6, 6, 6. The minimum weight is **6**.
All paths with weight 6 are:
1. S → A → T
2. S → B → T
3. S → B → D → T
4. S → C → D → T
### Verifying No Other Paths Exist
Let's ensure we haven't missed any paths:
- From S, edges go to A, B, C, T.
  - S → T is already considered.
  - S → A only goes to T.
  - S → B goes to T and D.
    - B → D goes to T.
  - S → C goes to D.
    - C → D goes to T.
- No other edges exist, so no other paths are possible.
### Final Answer
All distinct minimum-total-weight paths from S to T are as follows:
1. **Path**: S → A → T
   - **Total Weight**: 6
   - **Number of Edges**: 2
2. **Path**: S → B → T
   - **Total Weight**: 6
   - **Number of Edges**: 2
3. **Path**: S → B → D → T
   - **Total Weight**: 6
   - **Number of Edges**: 3
4. **Path**: S → C → D → T
   - **Total Weight**: 6
   - **Number of Edges**: 3
### Explanation of Method
1. **Enumeration of Paths**: We listed all possible paths from S to T by following each possible sequence of edges until reaching T.
2. **Weight Calculation**: For each path, we summed the weights of the edges to get the total weight.
3. **Identification of Minimum**: We compared all total weights to find the smallest one (6 in this case).
4. **Selection of Paths**: All paths with the minimum weight were selected as the answer.
This exhaustive approach ensures that we've considered all possible paths and correctly identified those with the minimum total weight. Given the small size of the graph, this method is both practical and reliable. For larger graphs, a more algorithmic approach like Dijkstra's with path tracking would be more efficient.</x:v>
      </x:c>
    </x:row>
    <x:row r="47" ht="48" customHeight="1">
      <x:c r="A47" s="29" t="str">
        <x:v>mistral_D02</x:v>
      </x:c>
      <x:c r="B47" s="30" t="n">
        <x:v>46247.999905983794</x:v>
      </x:c>
      <x:c r="C47" s="29" t="str">
        <x:v>C/D high multiplicity</x:v>
      </x:c>
      <x:c r="D47" s="29" t="str">
        <x:v>mistral</x:v>
      </x:c>
      <x:c r="E47" s="29" t="str">
        <x:v>D</x:v>
      </x:c>
      <x:c r="F47" s="29" t="n">
        <x:v>2</x:v>
      </x:c>
      <x:c r="G47" s="29" t="n">
        <x:v>200</x:v>
      </x:c>
      <x:c r="H47" s="29" t="str">
        <x:v>mistralai/mistral-large-2512</x:v>
      </x:c>
      <x:c r="I47" s="29" t="str">
        <x:v>mistral</x:v>
      </x:c>
      <x:c r="J47" s="29" t="str">
        <x:v>mistralai/mistral-large-2512</x:v>
      </x:c>
      <x:c r="K47" s="29" t="str">
        <x:v>Mistral</x:v>
      </x:c>
      <x:c r="L47" s="29" t="str">
        <x:v>gen-1786665561-SqUwikUpJuIqj8Xj5vLo</x:v>
      </x:c>
      <x:c r="M47" s="29" t="n">
        <x:v>162</x:v>
      </x:c>
      <x:c r="N47" s="29" t="n">
        <x:v>2544</x:v>
      </x:c>
      <x:c r="O47" s="29" t="n">
        <x:v>2706</x:v>
      </x:c>
      <x:c r="P47" s="31" t="n">
        <x:v>0.0038322</x:v>
      </x:c>
      <x:c r="Q47" s="32" t="str">
        <x:v>### Understanding the Problem
We are given a directed, weighted graph with nodes and edges as follows:
- **Nodes**: S, A, B, C, D, T
- **Edges and Weights**:
  - S → A: 1
  - A → T: 5
  - S → B: 2
  - B → T: 4
  - B → D: 1
  - S → C: 1
  - C → D: 2
  - D → T: 3
  - S → T: 7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version of Dijkstra's algorithm, which is typically used to find the shortest path in a graph with non-negative edge weights. Here's how we'll proceed:
1. **Initialize**: Start by assigning a tentative distance to each node. The distance to S is 0, and the distance to all other nodes is infinity. Also, keep track of the number of edges and the actual paths to each node.
2. **Priority Queue**: Use a priority queue (min-heap) to process nodes in order of increasing tentative distance from S.
3. **Relaxation**: For each node, examine its outgoing edges. For each neighbor, calculate the new distance via the current node. If this new distance is less than the previously known distance, update the distance and record the path. If the new distance equals the previously known distance, add the new path as an alternative.
4. **Termination**: Once the target node T is dequeued from the priority queue, we can stop since we're only interested in paths to T. All paths to T with the minimum distance found at this point are our solutions.
5. **Collect Paths**: After processing, collect all paths to T that have the minimum total weight.
### Step-by-Step Execution
Let's execute the algorithm step by step.
**Initialization**:
- Distance to S: 0, Path: [S], Edges: 0
- Distance to A, B, C, D, T: ∞, Paths: [], Edges: ∞
- Priority Queue: [(0, S, [S], 0)]
**Processing**:
1. Dequeue S (distance 0):
   - S → A: new distance = 0 + 1 = 1
     - Update A: distance = 1, path = [S, A], edges = 1
     - Enqueue A: (1, A, [S, A], 1)
   - S → B: new distance = 0 + 2 = 2
     - Update B: distance = 2, path = [S, B], edges = 1
     - Enqueue B: (2, B, [S, B], 1)
   - S → C: new distance = 0 + 1 = 1
     - Update C: distance = 1, path = [S, C], edges = 1
     - Enqueue C: (1, C, [S, C], 1)
   - S → T: new distance = 0 + 7 = 7
     - Update T: distance = 7, path = [S, T], edges = 1
     - Enqueue T: (7, T, [S, T], 1)
   - Priority Queue: [(1, A, [S, A], 1), (1, C, [S, C], 1), (2, B, [S, B], 1), (7, T, [S, T], 1)]
2. Dequeue A (distance 1):
   - A → T: new distance = 1 + 5 = 6
     - Current distance to T is 7, so update:
       - T: distance = 6, path = [S, A, T], edges = 2
       - Enqueue T: (6, T, [S, A, T], 2)
   - Priority Queue: [(1, C, [S, C], 1), (2, B, [S, B], 1), (6, T, [S, A, T], 2), (7, T, [S, T], 1)]
3. Dequeue C (distance 1):
   - C → D: new distance = 1 + 2 = 3
     - Update D: distance = 3, path = [S, C, D], edges = 2
     - Enqueue D: (3, D, [S, C, D], 2)
   - Priority Queue: [(2, B, [S, B], 1), (3, D, [S, C, D], 2), (6, T, [S, A, T], 2), (7, T, [S, T], 1)]
4. Dequeue B (distance 2):
   - B → T: new distance = 2 + 4 = 6
     - Current distance to T is 6, so add alternative path:
       - T: distance = 6, path = [S, B, T], edges = 2
       - Enqueue T: (6, T, [S, B, T], 2)
   - B → D: new distance = 2 + 1 = 3
     - Current distance to D is 3, so add alternative path:
       - D: distance = 3, path = [S, B, D], edges = 2
       - Enqueue D: (3, D, [S, B, D], 2)
   - Priority Queue: [(3, D, [S, C, D], 2), (3, D, [S, B, D], 2), (6, T, [S, A, T], 2), (6, T, [S, B, T], 2), (7, T, [S, T], 1)]
5. Dequeue D (distance 3, first occurrence [S, C, D]):
   - D → T: new distance = 3 + 3 = 6
     - Current distance to T is 6, so add alternative path:
       - T: distance = 6, path = [S, C, D, T], edges = 3
       - Enqueue T: (6, T, [S, C, D, T], 3)
   - Priority Queue: [(3, D, [S, B, D], 2), (6, T, [S, A, T], 2), (6, T, [S, B, T], 2), (6, T, [S, C, D, T], 3), (7, T, [S, T], 1)]
6. Dequeue D (distance 3, second occurrence [S, B, D]):
   - D → T: new distance = 3 + 3 = 6
     - Current distance to T is 6, so add alternative path:
       - T: distance = 6, path = [S, B, D, T], edges = 3
       - Enqueue T: (6, T, [S, B, D, T], 3)
   - Priority Queue: [(6, T, [S, A, T], 2), (6, T, [S, B, T], 2), (6, T, [S, C, D, T], 3), (6, T, [S, B, D, T], 3), (7, T, [S, T], 1)]
At this point, the next nodes in the priority queue are all T with distance 6. Since we're only interested in paths to T, and we've found that the minimum distance to T is 6, we can stop here. Any further processing would only find paths with higher distances.
### Collecting Minimum-Weight Paths to T
From the priority queue, the paths to T with distance 6 are:
1. [S, A, T] - weight: 6, edges: 2
2. [S, B, T] - weight: 6, edges: 2
3. [S, C, D, T] - weight: 6, edges: 3
4. [S, B, D, T] - weight: 6, edges: 3
The path [S, T] has a weight of 7, which is higher than 6, so it's not a minimum-weight path.
### Verifying All Possible Paths
Let's list all possible paths from S to T and their weights to ensure we haven't missed any:
1. S → T: 7
2. S → A → T: 1 + 5 = 6
3. S → B → T: 2 + 4 = 6
4. S → B → D → T: 2 + 1 + 3 = 6
5. S → C → D → T: 1 + 2 + 3 = 6
6. S → A → (no other edges from A)
7. S → B → (already considered)
8. S → C → (already considered)
Other combinations like S → A → ... don't lead to T except via A → T, which is already considered. Similarly, S → C → D → ... is covered.
Thus, the minimum weight is indeed 6, and the paths achieving this are:
- S → A → T
- S → B → T
- S → B → D → T
- S → C → D → T
### Final Answer
All distinct minimum-total-weight paths from S to T are:
1. **Path**: S → A → T
   - **Total Weight**: 6
   - **Number of Edges**: 2
2. **Path**: S → B → T
   - **Total Weight**: 6
   - **Number of Edges**: 2
3. **Path**: S → B → D → T
   - **Total Weight**: 6
   - **Number of Edges**: 3
4. **Path**: S → C → D → T
   - **Total Weight**: 6
   - **Number of Edges**: 3
### Explanation of Method
The method used is a modified Dijkstra's algorithm that keeps track of all possible paths to each node, not just the shortest one. Here's why this works:
- **Priority Queue**: Ensures that we always process the node with the current smallest tentative distance first, which is crucial for Dijkstra's algorithm to find the shortest paths.
- **Tracking Paths**: Instead of just storing the shortest distance to each node, we store all paths that achieve that distance. This allows us to collect all minimum-weight paths to the target node T.
- **Relaxation**: When we find a new path to a node with the same distance as the current known distance, we add it as an alternative path. This ensures we don't miss any paths that might lead to the target with the same minimum weight.
- **Termination**: Once we dequeue the target node T from the priority queue, we know we've found the minimum distance to T because any other paths to T would have a higher or equal distance (due to the priority queue's ordering).
This approach efficiently finds all minimum-weight paths without unnecessary computations, ensuring correctness and completeness.</x:v>
      </x:c>
    </x:row>
    <x:row r="48" ht="48" customHeight="1">
      <x:c r="A48" s="29" t="str">
        <x:v>mistral_C02</x:v>
      </x:c>
      <x:c r="B48" s="30" t="n">
        <x:v>46248.000197511574</x:v>
      </x:c>
      <x:c r="C48" s="29" t="str">
        <x:v>C/D high multiplicity</x:v>
      </x:c>
      <x:c r="D48" s="29" t="str">
        <x:v>mistral</x:v>
      </x:c>
      <x:c r="E48" s="29" t="str">
        <x:v>C</x:v>
      </x:c>
      <x:c r="F48" s="29" t="n">
        <x:v>2</x:v>
      </x:c>
      <x:c r="G48" s="29" t="n">
        <x:v>200</x:v>
      </x:c>
      <x:c r="H48" s="29" t="str">
        <x:v>mistralai/mistral-large-2512</x:v>
      </x:c>
      <x:c r="I48" s="29" t="str">
        <x:v>mistral</x:v>
      </x:c>
      <x:c r="J48" s="29" t="str">
        <x:v>mistralai/mistral-large-2512</x:v>
      </x:c>
      <x:c r="K48" s="29" t="str">
        <x:v>Mistral</x:v>
      </x:c>
      <x:c r="L48" s="29" t="str">
        <x:v>gen-1786665593-iPo9or9qQEaMCoGhvjff</x:v>
      </x:c>
      <x:c r="M48" s="29" t="n">
        <x:v>162</x:v>
      </x:c>
      <x:c r="N48" s="29" t="n">
        <x:v>1981</x:v>
      </x:c>
      <x:c r="O48" s="29" t="n">
        <x:v>2143</x:v>
      </x:c>
      <x:c r="P48" s="31" t="n">
        <x:v>0.0030525</x:v>
      </x:c>
      <x:c r="Q48" s="32" t="str">
        <x:v>### Understanding the Problem
We are given a directed, weighted graph with nodes and edges as follows:
- **Nodes**: S, A, B, C, D, T
- **Edges and Weights**:
  - S → A: 1
  - S → B: 1
  - A → C: 2
  - A → D: 2
  - B → C: 2
  - B → D: 2
  - C → T: 3
  - D → T: 3
  - S → T: 7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**shortest path algorithm** that not only finds the shortest path but also keeps track of all paths that achieve this minimum weight. The **Dijkstra's algorithm** is suitable for this purpose, especially since all edge weights are positive.
Here's how we'll proceed:
1. **Initialize**: Start from node S with a distance of 0. All other nodes start with an infinite distance.
2. **Priority Queue**: Use a priority queue (min-heap) to always expand the node with the current smallest known distance.
3. **Track Paths**: For each node, keep track of all paths that lead to it with the current minimum distance. This helps in enumerating all possible shortest paths.
4. **Relaxation**: For each neighbor of the current node, update the distance if a shorter path is found. If an equally short path is found, add it to the list of shortest paths for that node.
5. **Termination**: Once the target node T is reached, we can stop since we're using a priority queue, ensuring that the first time we reach T is via the shortest path(s).
### Step-by-Step Execution
Let's execute the algorithm step by step.
**Initialization:**
- Distance to S: 0
- Distance to A, B, C, D, T: ∞
- Paths to S: [S]
- Priority Queue: [(0, S)]
**Iteration 1:**
- Dequeue S (distance = 0)
- Neighbors of S: A, B, T
  - S → A: distance = 0 + 1 = 1
    - Update A's distance to 1
    - Paths to A: [S, A]
    - Enqueue A with distance 1
  - S → B: distance = 0 + 1 = 1
    - Update B's distance to 1
    - Paths to B: [S, B]
    - Enqueue B with distance 1
  - S → T: distance = 0 + 7 = 7
    - Update T's distance to 7
    - Paths to T: [S, T]
    - Enqueue T with distance 7
- Priority Queue: [(1, A), (1, B), (7, T)]
**Iteration 2:**
- Dequeue A (distance = 1)
- Neighbors of A: C, D
  - A → C: distance = 1 + 2 = 3
    - Update C's distance to 3
    - Paths to C: [S, A, C]
    - Enqueue C with distance 3
  - A → D: distance = 1 + 2 = 3
    - Update D's distance to 3
    - Paths to D: [S, A, D]
    - Enqueue D with distance 3
- Priority Queue: [(1, B), (3, C), (3, D), (7, T)]
**Iteration 3:**
- Dequeue B (distance = 1)
- Neighbors of B: C, D
  - B → C: distance = 1 + 2 = 3
    - C's current distance is 3 (from A → C)
    - New path to C: [S, B, C] with same distance
    - Add [S, B, C] to paths to C
  - B → D: distance = 1 + 2 = 3
    - D's current distance is 3 (from A → D)
    - New path to D: [S, B, D] with same distance
    - Add [S, B, D] to paths to D
- Priority Queue: [(3, C), (3, D), (7, T)]
**Iteration 4:**
- Dequeue C (distance = 3)
- Neighbors of C: T
  - C → T: distance = 3 + 3 = 6
    - T's current distance is 7
    - Update T's distance to 6
    - Paths to T: [S, A, C, T], [S, B, C, T]
    - Enqueue T with distance 6
- Priority Queue: [(3, D), (6, T), (7, T)]
**Iteration 5:**
- Dequeue D (distance = 3)
- Neighbors of D: T
  - D → T: distance = 3 + 3 = 6
    - T's current distance is 6
    - New paths to T: [S, A, D, T], [S, B, D, T]
    - Add these to paths to T
- Priority Queue: [(6, T), (6, T), (7, T)]
**Iteration 6:**
- Dequeue T (distance = 6)
  - This is the first time we're dequeuing T, and since we're using a priority queue, this is the minimum distance.
  - All paths to T with distance 6 are the shortest paths.
- We can stop here as we've found all shortest paths to T.
### Collecting All Minimum-Weight Paths
From the above steps, the paths to T with the minimum total weight of 6 are:
1. S → A → C → T
   - Node sequence: S, A, C, T
   - Total weight: 1 (S→A) + 2 (A→C) + 3 (C→T) = 6
   - Number of edges: 3
2. S → B → C → T
   - Node sequence: S, B, C, T
   - Total weight: 1 (S→B) + 2 (B→C) + 3 (C→T) = 6
   - Number of edges: 3
3. S → A → D → T
   - Node sequence: S, A, D, T
   - Total weight: 1 (S→A) + 2 (A→D) + 3 (D→T) = 6
   - Number of edges: 3
4. S → B → D → T
   - Node sequence: S, B, D, T
   - Total weight: 1 (S→B) + 2 (B→D) + 3 (D→T) = 6
   - Number of edges: 3
The direct path S → T has a weight of 7, which is not minimal.
### Verifying No Other Paths Exist
Let's ensure there are no other paths with a total weight of 6 or less:
- Any path that tries to go through more nodes will have a higher total weight. For example:
  - S → A → C → D → T: weight = 1 + 2 + (C→D doesn't exist) → invalid
  - Similarly, other combinations either don't exist or exceed the weight of 6.
- The only possible paths are the four listed above, all with a total weight of 6.
### Final Answer
All distinct minimum-total-weight paths from S to T are:
1. **Path 1:**
   - Node sequence: S, A, C, T
   - Total weight: 6
   - Number of edges: 3
2. **Path 2:**
   - Node sequence: S, B, C, T
   - Total weight: 6
   - Number of edges: 3
3. **Path 3:**
   - Node sequence: S, A, D, T
   - Total weight: 6
   - Number of edges: 3
4. **Path 4:**
   - Node sequence: S, B, D, T
   - Total weight: 6
   - Number of edges: 3
### Summary
By systematically exploring all possible paths from S to T using Dijkstra's algorithm and keeping track of all paths that achieve the minimum distance, we've identified that there are exactly four distinct paths with the minimum total weight of 6. Each of these paths consists of three edges. The direct path S → T is not among the shortest paths as its weight is 7.</x:v>
      </x:c>
    </x:row>
    <x:row r="49" ht="48" customHeight="1">
      <x:c r="A49" s="29" t="str">
        <x:v>mistral_D03</x:v>
      </x:c>
      <x:c r="B49" s="30" t="n">
        <x:v>46248.000430277774</x:v>
      </x:c>
      <x:c r="C49" s="29" t="str">
        <x:v>C/D high multiplicity</x:v>
      </x:c>
      <x:c r="D49" s="29" t="str">
        <x:v>mistral</x:v>
      </x:c>
      <x:c r="E49" s="29" t="str">
        <x:v>D</x:v>
      </x:c>
      <x:c r="F49" s="29" t="n">
        <x:v>3</x:v>
      </x:c>
      <x:c r="G49" s="29" t="n">
        <x:v>200</x:v>
      </x:c>
      <x:c r="H49" s="29" t="str">
        <x:v>mistralai/mistral-large-2512</x:v>
      </x:c>
      <x:c r="I49" s="29" t="str">
        <x:v>mistral</x:v>
      </x:c>
      <x:c r="J49" s="29" t="str">
        <x:v>mistralai/mistral-large-2512</x:v>
      </x:c>
      <x:c r="K49" s="29" t="str">
        <x:v>Mistral</x:v>
      </x:c>
      <x:c r="L49" s="29" t="str">
        <x:v>gen-1786665618-HMKrxlFe8Hs4Y2IUl28R</x:v>
      </x:c>
      <x:c r="M49" s="29" t="n">
        <x:v>162</x:v>
      </x:c>
      <x:c r="N49" s="29" t="n">
        <x:v>1459</x:v>
      </x:c>
      <x:c r="O49" s="29" t="n">
        <x:v>1621</x:v>
      </x:c>
      <x:c r="P49" s="31" t="n">
        <x:v>0.0022695</x:v>
      </x:c>
      <x:c r="Q49" s="32" t="str">
        <x:v>### Understanding the Problem
We are given a directed, weighted graph with nodes and edges as follows:
- **Nodes**: S, A, B, C, D, T
- **Edges and Weights**:
  - S → A: 1
  - A → T: 5
  - S → B: 2
  - B → T: 4
  - B → D: 1
  - S → C: 1
  - C → D: 2
  - D → T: 3
  - S → T: 7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perform a **breadth-first search (BFS) with priority** based on the total weight. Since we're interested in all paths with the minimum weight, we'll explore all possible paths and keep track of those with the smallest total weight.
Here's the step-by-step method:
1. **List all possible paths from S to T**: We'll explore all possible sequences of nodes starting from S and ending at T, respecting the directed edges.
2. **Calculate the total weight for each path**: Sum the weights of the edges in each path.
3. **Identify the minimum total weight**: After calculating all path weights, determine the smallest one.
4. **Collect all paths with this minimum weight**: These are our desired paths.
Given the small size of the graph, enumerating all possible paths is feasible.
### Enumerating All Possible Paths from S to T
Let's list all possible paths from S to T by following the edges:
1. **Direct Path**:
   - S → T
     - Sequence: S, T
     - Weight: 7
     - Edges: 1
2. **Paths with one intermediate node**:
   - S → A → T
     - Sequence: S, A, T
     - Weight: 1 (S→A) + 5 (A→T) = 6
     - Edges: 2
   - S → B → T
     - Sequence: S, B, T
     - Weight: 2 (S→B) + 4 (B→T) = 6
     - Edges: 2
   - S → C → D → T
     - Wait, this has two intermediate nodes, so let's hold off and consider paths with more intermediates.
3. **Paths with two intermediate nodes**:
   - S → B → D → T
     - Sequence: S, B, D, T
     - Weight: 2 (S→B) + 1 (B→D) + 3 (D→T) = 6
     - Edges: 3
   - S → C → D → T
     - Sequence: S, C, D, T
     - Weight: 1 (S→C) + 2 (C→D) + 3 (D→T) = 6
     - Edges: 3
4. **Other possible paths**:
   - Are there any other paths with more intermediates? Let's see:
     - S → A → ...: After A, the only edge is A→T, so no further intermediates.
     - S → B → ...: After B, edges are B→T and B→D. B→D can go to D→T, but that's already covered.
     - S → C → ...: After C, only C→D, then D→T, already covered.
     - S → T is direct.
   - So, no other paths exist beyond those listed.
### Listing All Paths with Their Weights
Here's the complete list of all possible paths from S to T with their total weights:
1. S → T
   - Weight: 7
   - Edges: 1
2. S → A → T
   - Weight: 1 + 5 = 6
   - Edges: 2
3. S → B → T
   - Weight: 2 + 4 = 6
   - Edges: 2
4. S → B → D → T
   - Weight: 2 + 1 + 3 = 6
   - Edges: 3
5. S → C → D → T
   - Weight: 1 + 2 + 3 = 6
   - Edges: 3
### Identifying the Minimum-Weight Paths
From the above, the weights are: 7, 6, 6, 6, 6.
The minimum weight is **6**.
All paths with weight 6 are:
1. S → A → T
2. S → B → T
3. S → B → D → T
4. S → C → D → T
### Verifying No Other Paths Exist
Let's ensure we haven't missed any paths:
- From S, edges go to A, B, C, T.
  - S → A: only A → T.
  - S → B: B → T or B → D → T.
  - S → C: C → D → T.
  - S → T: direct.
- No other edges from these nodes lead to T or other nodes that can reach T.
Thus, we've covered all possible paths.
### Final Answer
All distinct minimum-total-weight paths from S to T are as follows, each with a total weight of **6**:
1. **Path**: S → A → T
   - Total weight: 6
   - Number of edges: 2
2. **Path**: S → B → T
   - Total weight: 6
   - Number of edges: 2
3. **Path**: S → B → D → T
   - Total weight: 6
   - Number of edges: 3
4. **Path**: S → C → D → T
   - Total weight: 6
   - Number of edges: 3
### Summary of Method
1. **Enumerate all possible paths**: By following the directed edges from S to T, considering all possible intermediate nodes.
2. **Calculate path weights**: Sum the weights of edges in each path.
3. **Identify minimum weight**: Determine the smallest total weight among all paths.
4. **Collect minimum-weight paths**: List all paths that achieve this minimum weight.
This exhaustive enumeration ensures that we've found all possible minimum-weight paths in the given graph.</x:v>
      </x:c>
    </x:row>
    <x:row r="50" ht="48" customHeight="1">
      <x:c r="A50" s="29" t="str">
        <x:v>mistral_C03</x:v>
      </x:c>
      <x:c r="B50" s="30" t="n">
        <x:v>46248.00065818287</x:v>
      </x:c>
      <x:c r="C50" s="29" t="str">
        <x:v>C/D high multiplicity</x:v>
      </x:c>
      <x:c r="D50" s="29" t="str">
        <x:v>mistral</x:v>
      </x:c>
      <x:c r="E50" s="29" t="str">
        <x:v>C</x:v>
      </x:c>
      <x:c r="F50" s="29" t="n">
        <x:v>3</x:v>
      </x:c>
      <x:c r="G50" s="29" t="n">
        <x:v>200</x:v>
      </x:c>
      <x:c r="H50" s="29" t="str">
        <x:v>mistralai/mistral-large-2512</x:v>
      </x:c>
      <x:c r="I50" s="29" t="str">
        <x:v>mistral</x:v>
      </x:c>
      <x:c r="J50" s="29" t="str">
        <x:v>mistralai/mistral-large-2512</x:v>
      </x:c>
      <x:c r="K50" s="29" t="str">
        <x:v>Mistral</x:v>
      </x:c>
      <x:c r="L50" s="29" t="str">
        <x:v>gen-1786665638-I5C8d3OFhChc39zXTZ2f</x:v>
      </x:c>
      <x:c r="M50" s="29" t="n">
        <x:v>162</x:v>
      </x:c>
      <x:c r="N50" s="29" t="n">
        <x:v>1555</x:v>
      </x:c>
      <x:c r="O50" s="29" t="n">
        <x:v>1717</x:v>
      </x:c>
      <x:c r="P50" s="31" t="n">
        <x:v>0.0024135</x:v>
      </x:c>
      <x:c r="Q50" s="32" t="str">
        <x:v>### Understanding the Problem
We are given a directed, weighted graph with nodes and edges as follows:
- **Nodes**: S, A, B, C, D, T
- **Edges and Weights**:
  - S → A: 1
  - S → B: 1
  - A → C: 2
  - A → D: 2
  - B → C: 2
  - B → D: 2
  - C → T: 3
  - D → T: 3
  - S → T: 7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perform a **breadth-first search (BFS) with priority** based on the total weight. Here's the general approach:
1. **Initialize**: Start from node S with a total weight of 0.
2. **Explore**: For each node, explore all outgoing edges, keeping track of the total weight to reach the next node.
3. **Track Paths**: Maintain not just the minimum weight to reach each node, but also all paths that achieve that minimum weight.
4. **Terminate**: When we reach node T, we record the path if it's the first time we've reached T or if it has the same weight as the current minimum.
5. **Prune**: If we encounter a path to a node with a higher weight than previously recorded, we can discard it since it cannot lead to a minimum-weight path to T.
Given the small size of the graph, we can also enumerate all possible paths and then select those with the minimum weight.
### Enumerating All Possible Paths from S to T
Let's list all possible paths from S to T and calculate their total weights.
1. **Direct Path**:
   - S → T
   - Weight: 7
   - Number of edges: 1
2. **Paths via A**:
   - S → A → C → T
     - Weight: 1 (S→A) + 2 (A→C) + 3 (C→T) = 6
     - Edges: 3
   - S → A → D → T
     - Weight: 1 (S→A) + 2 (A→D) + 3 (D→T) = 6
     - Edges: 3
3. **Paths via B**:
   - S → B → C → T
     - Weight: 1 (S→B) + 2 (B→C) + 3 (C→T) = 6
     - Edges: 3
   - S → B → D → T
     - Weight: 1 (S→B) + 2 (B→D) + 3 (D→T) = 6
     - Edges: 3
4. **Longer Paths** (These will have higher weights, so we can ignore them for minimum weight):
   - Any path that goes through more nodes will have a higher total weight. For example:
     - S → A → C → D → T: Not possible since C has no edge to D.
     - Similarly, other combinations either don't exist or will have higher weights.
### Identifying Minimum-Weight Paths
From the enumeration above, the weights of the paths are:
- S → T: 7
- S → A → C → T: 6
- S → A → D → T: 6
- S → B → C → T: 6
- S → B → D → T: 6
The minimum weight among these is **6**. Therefore, all paths with a total weight of 6 are the minimum-weight paths.
### Listing All Minimum-Weight Paths
Here are all distinct paths with a total weight of 6:
1. **Path 1**:
   - Node sequence: S → A → C → T
   - Total weight: 1 + 2 + 3 = 6
   - Number of edges: 3
2. **Path 2**:
   - Node sequence: S → A → D → T
   - Total weight: 1 + 2 + 3 = 6
   - Number of edges: 3
3. **Path 3**:
   - Node sequence: S → B → C → T
   - Total weight: 1 + 2 + 3 = 6
   - Number of edges: 3
4. **Path 4**:
   - Node sequence: S → B → D → T
   - Total weight: 1 + 2 + 3 = 6
   - Number of edges: 3
### Verifying No Other Minimum-Weight Paths Exist
Let's ensure that no other paths have a total weight of 6 or less:
- The direct path S → T has a weight of 7, which is higher than 6.
- Any path that tries to go through more nodes (e.g., S → A → C → D → T) is not possible because:
  - C does not have an edge to D.
  - Similarly, other combinations either don't exist or would require revisiting nodes, which isn't allowed in simple paths (assuming we're not considering cycles).
Therefore, the four paths listed above are indeed all the minimum-weight paths from S to T.
### Final Answer
All distinct minimum-total-weight paths from S to T are as follows:
1. **Path**:
   - Node sequence: S → A → C → T
   - Total weight: 6
   - Number of edges: 3
2. **Path**:
   - Node sequence: S → A → D → T
   - Total weight: 6
   - Number of edges: 3
3. **Path**:
   - Node sequence: S → B → C → T
   - Total weight: 6
   - Number of edges: 3
4. **Path**:
   - Node sequence: S → B → D → T
   - Total weight: 6
   - Number of edges: 3
### Explanation of Method
The method involved:
1. **Enumerating All Possible Paths**: Since the graph is small, we could list all possible paths from S to T without missing any.
2. **Calculating Weights**: For each path, we summed the weights of the edges to get the total weight.
3. **Identifying Minimum Weight**: We compared all total weights to find the smallest one (which was 6).
4. **Listing All Paths with Minimum Weight**: We collected all paths that achieved this minimum weight.
5. **Verification**: We ensured no other paths could have a weight of 6 or less by checking all possible node sequences.
This exhaustive approach guarantees that we've found all minimum-weight paths in the given graph. For larger graphs, a more algorithmic approach like Dijkstra's with path tracking would be more efficient.</x:v>
      </x:c>
    </x:row>
    <x:row r="51" ht="48" customHeight="1">
      <x:c r="A51" s="29" t="str">
        <x:v>mistral_C04</x:v>
      </x:c>
      <x:c r="B51" s="30" t="n">
        <x:v>46248.00086954861</x:v>
      </x:c>
      <x:c r="C51" s="29" t="str">
        <x:v>C/D high multiplicity</x:v>
      </x:c>
      <x:c r="D51" s="29" t="str">
        <x:v>mistral</x:v>
      </x:c>
      <x:c r="E51" s="29" t="str">
        <x:v>C</x:v>
      </x:c>
      <x:c r="F51" s="29" t="n">
        <x:v>4</x:v>
      </x:c>
      <x:c r="G51" s="29" t="n">
        <x:v>200</x:v>
      </x:c>
      <x:c r="H51" s="29" t="str">
        <x:v>mistralai/mistral-large-2512</x:v>
      </x:c>
      <x:c r="I51" s="29" t="str">
        <x:v>mistral</x:v>
      </x:c>
      <x:c r="J51" s="29" t="str">
        <x:v>mistralai/mistral-large-2512</x:v>
      </x:c>
      <x:c r="K51" s="29" t="str">
        <x:v>Mistral</x:v>
      </x:c>
      <x:c r="L51" s="29" t="str">
        <x:v>gen-1786665658-RmJYGWG2qib0gC5k8Vte</x:v>
      </x:c>
      <x:c r="M51" s="29" t="n">
        <x:v>162</x:v>
      </x:c>
      <x:c r="N51" s="29" t="n">
        <x:v>1406</x:v>
      </x:c>
      <x:c r="O51" s="29" t="n">
        <x:v>1568</x:v>
      </x:c>
      <x:c r="P51" s="31" t="n">
        <x:v>0.0021252</x:v>
      </x:c>
      <x:c r="Q51" s="32" t="str">
        <x:v>### Understanding the Problem
We are given a directed, weighted graph with the following edges and weights:
- S → A: 1
- S → B: 1
- A → C: 2
- A → D: 2
- B → C: 2
- B → D: 2
- C → T: 3
- D → T: 3
- S → T: 7
Our goal is to find all distinct paths from the source node `S` to the target node `T` that have the minimum total weight. For each such path, we need to provide:
1. The sequence of nodes in the path.
2. The total weight of the path.
3. The number of edges in the path.
### Approach to Find Minimum-Weight Paths
To find all minimum-weight paths from `S` to `T`, we can use a modified Dijkstra's algorithm or a breadth-first search (BFS) approach that keeps track of all possible paths with the minimum weight at each step. Here's how I'll proceed:
1. **List All Possible Paths**: Enumerate all possible paths from `S` to `T` by following the directed edges.
2. **Calculate Total Weights**: For each path, calculate the sum of the weights of its edges.
3. **Identify Minimum Weight**: Determine the smallest total weight among all paths.
4. **Select Paths with Minimum Weight**: Collect all paths that have this minimum total weight.
Given the small size of the graph, enumerating all paths is feasible.
### Enumerating All Paths from S to T
Let's list all possible paths from `S` to `T`:
1. **Direct Path**:
   - S → T
   - Weight: 7
   - Number of edges: 1
2. **Paths via A**:
   - S → A → C → T
     - Weight: 1 (S→A) + 2 (A→C) + 3 (C→T) = 6
     - Number of edges: 3
   - S → A → D → T
     - Weight: 1 (S→A) + 2 (A→D) + 3 (D→T) = 6
     - Number of edges: 3
3. **Paths via B**:
   - S → B → C → T
     - Weight: 1 (S→B) + 2 (B→C) + 3 (C→T) = 6
     - Number of edges: 3
   - S → B → D → T
     - Weight: 1 (S→B) + 2 (B→D) + 3 (D→T) = 6
     - Number of edges: 3
4. **Longer Paths**:
   - Any path that tries to go through more nodes (e.g., S → A → C → D → T) is not possible because there's no edge from C to D or D to C in the given graph. Similarly, other combinations either don't exist or would form cycles, which we can ignore since we're looking for simple paths (no repeated nodes).
### Calculating Total Weights
From the above, the total weights of all possible paths are:
1. S → T: 7
2. S → A → C → T: 6
3. S → A → D → T: 6
4. S → B → C → T: 6
5. S → B → D → T: 6
### Identifying Minimum Weight
The smallest total weight among these is **6**.
### Selecting Paths with Minimum Weight
The paths with total weight 6 are:
1. S → A → C → T
   - Node sequence: S, A, C, T
   - Total weight: 6
   - Number of edges: 3
2. S → A → D → T
   - Node sequence: S, A, D, T
   - Total weight: 6
   - Number of edges: 3
3. S → B → C → T
   - Node sequence: S, B, C, T
   - Total weight: 6
   - Number of edges: 3
4. S → B → D → T
   - Node sequence: S, B, D, T
   - Total weight: 6
   - Number of edges: 3
### Verifying No Other Paths Exist
Let's ensure we haven't missed any paths:
- From `S`, we can go to `A`, `B`, or directly to `T`.
- From `A`, we can go to `C` or `D`.
- From `B`, we can go to `C` or `D`.
- From `C` or `D`, we can only go to `T`.
- There are no other edges, so no other paths exist.
### Conclusion
All distinct minimum-total-weight paths from `S` to `T` are the four paths listed above, each with a total weight of 6 and consisting of 3 edges.
### Final Answer
All distinct minimum-total-weight paths from `S` to `T` are:
1.
   - Node sequence: S, A, C, T
   - Total weight: 6
   - Number of edges: 3
2.
   - Node sequence: S, A, D, T
   - Total weight: 6
   - Number of edges: 3
3.
   - Node sequence: S, B, C, T
   - Total weight: 6
   - Number of edges: 3
4.
   - Node sequence: S, B, D, T
   - Total weight: 6
   - Number of edges: 3
### Explanation of Method
1. **Enumeration of Paths**: We listed all possible paths from `S` to `T` by following the directed edges, ensuring no node is visited more than once in a path.
2. **Weight Calculation**: For each path, we summed the weights of its edges to get the total weight.
3. **Identification of Minimum Weight**: We compared all total weights to find the smallest one, which was 6.
4. **Selection of Minimum-Weight Paths**: We collected all paths that achieved this minimum weight.
5. **Verification**: We confirmed that no other paths exist by checking all possible edge sequences in the graph.
This method ensures that we've found all possible minimum-weight paths from `S` to `T` in the given graph.</x:v>
      </x:c>
    </x:row>
    <x:row r="52" ht="48" customHeight="1">
      <x:c r="A52" s="29" t="str">
        <x:v>mistral_D04</x:v>
      </x:c>
      <x:c r="B52" s="30" t="n">
        <x:v>46248.00109456018</x:v>
      </x:c>
      <x:c r="C52" s="29" t="str">
        <x:v>C/D high multiplicity</x:v>
      </x:c>
      <x:c r="D52" s="29" t="str">
        <x:v>mistral</x:v>
      </x:c>
      <x:c r="E52" s="29" t="str">
        <x:v>D</x:v>
      </x:c>
      <x:c r="F52" s="29" t="n">
        <x:v>4</x:v>
      </x:c>
      <x:c r="G52" s="29" t="n">
        <x:v>200</x:v>
      </x:c>
      <x:c r="H52" s="29" t="str">
        <x:v>mistralai/mistral-large-2512</x:v>
      </x:c>
      <x:c r="I52" s="29" t="str">
        <x:v>mistral</x:v>
      </x:c>
      <x:c r="J52" s="29" t="str">
        <x:v>mistralai/mistral-large-2512</x:v>
      </x:c>
      <x:c r="K52" s="29" t="str">
        <x:v>Mistral</x:v>
      </x:c>
      <x:c r="L52" s="29" t="str">
        <x:v>gen-1786665676-PLwKjhFP57pqc9Ud9RuM</x:v>
      </x:c>
      <x:c r="M52" s="29" t="n">
        <x:v>162</x:v>
      </x:c>
      <x:c r="N52" s="29" t="n">
        <x:v>1505</x:v>
      </x:c>
      <x:c r="O52" s="29" t="n">
        <x:v>1667</x:v>
      </x:c>
      <x:c r="P52" s="31" t="n">
        <x:v>0.0023385</x:v>
      </x:c>
      <x:c r="Q52" s="32" t="str">
        <x:v>### Understanding the Problem
We are given a directed, weighted graph with nodes and edges as follows:
- **Nodes**: S, A, B, C, D, T
- **Edges and Weights**:
  - S → A: 1
  - A → T: 5
  - S → B: 2
  - B → T: 4
  - B → D: 1
  - S → C: 1
  - C → D: 2
  - D → T: 3
  - S → T: 7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perform a **breadth-first search (BFS) with priority** based on the total weight. Here's the general approach:
1. **Initialize**: Start from node S with a total weight of 0.
2. **Explore**: For each node, explore all outgoing edges, keeping track of the total weight to reach the neighboring nodes.
3. **Track Paths**: Maintain not just the minimum weight to reach each node, but also all paths that achieve that minimum weight.
4. **Terminate**: When we reach node T, we record the path and its total weight. We continue until all possible paths with the minimum weight are found.
Given the small size of the graph, we can also enumerate all possible paths and then select those with the minimum weight.
### Enumerating All Possible Paths from S to T
Let's list all possible paths from S to T and calculate their total weights.
1. **Direct Path**:
   - S → T
   - Weight: 7
   - Number of edges: 1
2. **Paths with one intermediate node**:
   - S → A → T
     - Weight: 1 (S→A) + 5 (A→T) = 6
     - Edges: 2
   - S → B → T
     - Weight: 2 (S→B) + 4 (B→T) = 6
     - Edges: 2
   - S → C → (no direct edge to T, so cannot complete this path directly)
3. **Paths with two intermediate nodes**:
   - S → B → D → T
     - Weight: 2 (S→B) + 1 (B→D) + 3 (D→T) = 6
     - Edges: 3
   - S → C → D → T
     - Weight: 1 (S→C) + 2 (C→D) + 3 (D→T) = 6
     - Edges: 3
4. **Paths with more intermediate nodes**:
   - Any path with more than two intermediate nodes would have to revisit nodes or take longer routes, which would likely increase the total weight beyond the minimum found so far. For example:
     - S → A → ... (no other edges from A)
     - S → B → A → ... (no edge from B to A)
     - S → C → B → ... (no edge from C to B)
   - These paths either don't exist or would have higher weights, so we can ignore them.
### Listing All Paths and Their Weights
From the above, the possible paths and their weights are:
1. S → T: weight = 7, edges = 1
2. S → A → T: weight = 6, edges = 2
3. S → B → T: weight = 6, edges = 2
4. S → B → D → T: weight = 6, edges = 3
5. S → C → D → T: weight = 6, edges = 3
### Identifying Minimum-Weight Paths
The weights of the paths are: 7, 6, 6, 6, 6. The minimum weight is **6**.
Therefore, the minimum-weight paths are:
1. S → A → T
   - Node sequence: S, A, T
   - Total weight: 6
   - Number of edges: 2
2. S → B → T
   - Node sequence: S, B, T
   - Total weight: 6
   - Number of edges: 2
3. S → B → D → T
   - Node sequence: S, B, D, T
   - Total weight: 6
   - Number of edges: 3
4. S → C → D → T
   - Node sequence: S, C, D, T
   - Total weight: 6
   - Number of edges: 3
### Verifying No Other Minimum-Weight Paths Exist
Let's ensure that no other paths have a weight of 6 or less:
- Any path that starts with S → A can only go to T next, giving weight 6.
- Starting with S → B can go to T (weight 6) or to D (then to T, weight 6).
- Starting with S → C can only go to D, then to T (weight 6).
- Starting with S → T gives weight 7, which is higher.
- Any longer paths would involve more edges and likely higher weights (e.g., S → B → D → ... but D only goes to T).
Thus, we've accounted for all possible paths with weight 6.
### Final Answer
All distinct minimum-total-weight paths from S to T are:
1.
   - Node sequence: S, A, T
   - Total weight: 6
   - Number of edges: 2
2.
   - Node sequence: S, B, T
   - Total weight: 6
   - Number of edges: 2
3.
   - Node sequence: S, B, D, T
   - Total weight: 6
   - Number of edges: 3
4.
   - Node sequence: S, C, D, T
   - Total weight: 6
   - Number of edges: 3
### Summary of Method
1. **Enumerate All Paths**: List all possible paths from S to T by following the directed edges.
2. **Calculate Weights**: For each path, sum the weights of its edges to get the total weight.
3. **Identify Minimum**: Determine the smallest total weight among all paths.
4. **Select Paths**: Collect all paths that achieve this minimum weight.
5. **Verify**: Ensure no other paths with the same or lower weight exist.
This exhaustive enumeration is feasible for small graphs like this one. For larger graphs, more efficient algorithms like Dijkstra's with path tracking would be preferable.</x:v>
      </x:c>
    </x:row>
    <x:row r="53" ht="48" customHeight="1">
      <x:c r="A53" s="29" t="str">
        <x:v>mistral_C05</x:v>
      </x:c>
      <x:c r="B53" s="30" t="n">
        <x:v>46248.00137336805</x:v>
      </x:c>
      <x:c r="C53" s="29" t="str">
        <x:v>C/D high multiplicity</x:v>
      </x:c>
      <x:c r="D53" s="29" t="str">
        <x:v>mistral</x:v>
      </x:c>
      <x:c r="E53" s="29" t="str">
        <x:v>C</x:v>
      </x:c>
      <x:c r="F53" s="29" t="n">
        <x:v>5</x:v>
      </x:c>
      <x:c r="G53" s="29" t="n">
        <x:v>200</x:v>
      </x:c>
      <x:c r="H53" s="29" t="str">
        <x:v>mistralai/mistral-large-2512</x:v>
      </x:c>
      <x:c r="I53" s="29" t="str">
        <x:v>mistral</x:v>
      </x:c>
      <x:c r="J53" s="29" t="str">
        <x:v>mistralai/mistral-large-2512</x:v>
      </x:c>
      <x:c r="K53" s="29" t="str">
        <x:v>Mistral</x:v>
      </x:c>
      <x:c r="L53" s="29" t="str">
        <x:v>gen-1786665695-xqvHZiJB8MexJJWU9uu4</x:v>
      </x:c>
      <x:c r="M53" s="29" t="n">
        <x:v>162</x:v>
      </x:c>
      <x:c r="N53" s="29" t="n">
        <x:v>1948</x:v>
      </x:c>
      <x:c r="O53" s="29" t="n">
        <x:v>2110</x:v>
      </x:c>
      <x:c r="P53" s="31" t="n">
        <x:v>0.0029382</x:v>
      </x:c>
      <x:c r="Q53" s="32" t="str">
        <x:v>### Understanding the Problem
We are given a directed, weighted graph with nodes and edges as follows:
- **Nodes**: S, A, B, C, D, T
- **Edges and Weights**:
  - S → A: 1
  - S → B: 1
  - A → C: 2
  - A → D: 2
  - B → C: 2
  - B → D: 2
  - C → T: 3
  - D → T: 3
  - S → T: 7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**shortest path algorithm** that not only finds the shortest path but also keeps track of all paths that achieve this minimum weight. The **Dijkstra's algorithm** is suitable for this purpose, especially since all edge weights are non-negative.
However, since we need to find **all** minimum-weight paths, we'll need to modify the standard Dijkstra's algorithm to keep track of all paths that reach a node with the same minimum distance.
Here's the step-by-step method:
1. **Initialize**:
   - Assign a distance of 0 to the start node S.
   - Assign infinity to all other nodes initially.
   - Keep a priority queue (or a list) to process nodes in order of increasing distance from S.
   - Maintain a list of paths to each node, especially those that achieve the minimum distance.
2. **Process Nodes**:
   - Extract the node with the smallest current distance from the priority queue.
   - For each neighbor of this node, calculate the new distance via the current node.
   - If this new distance is less than the previously known distance, update the distance and record the new path.
   - If the new distance equals the previously known distance, add the new path to the list of paths for that node.
3. **Terminate**:
   - Once the target node T is processed, all paths that have the minimum distance to T are our desired paths.
### Applying the Method to the Given Graph
Let's apply this method step by step.
**Initialization**:
- Distance to S: 0
- Distance to A, B, C, D, T: ∞
- Paths to S: [S]
- Priority queue: [(S, 0)]
**Processing S (distance = 0)**:
- Neighbors of S: A, B, T
  - S → A: distance = 0 + 1 = 1
    - Update A's distance to 1
    - Paths to A: [S, A]
  - S → B: distance = 0 + 1 = 1
    - Update B's distance to 1
    - Paths to B: [S, B]
  - S → T: distance = 0 + 7 = 7
    - Update T's distance to 7
    - Paths to T: [S, T]
- Priority queue after processing S: [(A, 1), (B, 1), (T, 7)]
**Processing A (distance = 1)**:
- Neighbors of A: C, D
  - A → C: distance = 1 + 2 = 3
    - C's current distance is ∞, update to 3
    - Paths to C: [S, A, C]
  - A → D: distance = 1 + 2 = 3
    - D's current distance is ∞, update to 3
    - Paths to D: [S, A, D]
- Priority queue after processing A: [(B, 1), (C, 3), (D, 3), (T, 7)]
**Processing B (distance = 1)**:
- Neighbors of B: C, D
  - B → C: distance = 1 + 2 = 3
    - C's current distance is 3, which equals the new distance
    - Add new path to C: [S, B, C]
  - B → D: distance = 1 + 2 = 3
    - D's current distance is 3, which equals the new distance
    - Add new path to D: [S, B, D]
- Priority queue after processing B: [(C, 3), (D, 3), (T, 7)]
**Processing C (distance = 3)**:
- Neighbors of C: T
  - C → T: distance = 3 + 3 = 6
    - T's current distance is 7, update to 6
    - Paths to T: [S, A, C, T], [S, B, C, T]
- Priority queue after processing C: [(D, 3), (T, 6)]
**Processing D (distance = 3)**:
- Neighbors of D: T
  - D → T: distance = 3 + 3 = 6
    - T's current distance is 6, which equals the new distance
    - Add new paths to T: [S, A, D, T], [S, B, D, T]
- Priority queue after processing D: [(T, 6)]
**Processing T (distance = 6)**:
- No outgoing edges from T to process.
- All paths to T with distance 6 are our minimum-weight paths.
### Identifying All Minimum-Weight Paths
From the above steps, the paths to T with the minimum total weight of 6 are:
1. S → A → C → T
   - Node sequence: S, A, C, T
   - Total weight: 1 (S→A) + 2 (A→C) + 3 (C→T) = 6
   - Number of edges: 3
2. S → A → D → T
   - Node sequence: S, A, D, T
   - Total weight: 1 (S→A) + 2 (A→D) + 3 (D→T) = 6
   - Number of edges: 3
3. S → B → C → T
   - Node sequence: S, B, C, T
   - Total weight: 1 (S→B) + 2 (B→C) + 3 (C→T) = 6
   - Number of edges: 3
4. S → B → D → T
   - Node sequence: S, B, D, T
   - Total weight: 1 (S→B) + 2 (B→D) + 3 (D→T) = 6
   - Number of edges: 3
The path S → T has a total weight of 7, which is greater than 6, so it's not a minimum-weight path.
### Verifying No Other Paths Exist
Let's ensure that no other paths from S to T have a total weight of 6 or less:
- Direct path S → T: weight 7 (not minimum)
- Paths with more edges:
  - Any path with more than 3 edges would have to revisit nodes, which isn't allowed in simple paths (assuming we're not considering paths with cycles).
  - For example, S → A → C → D → T: but D → T is 3, and C → D doesn't exist.
  - Similarly, other combinations either don't exist or would exceed the minimum weight.
Thus, the four paths listed above are indeed all the minimum-weight paths from S to T.
### Final Answer
All distinct minimum-total-weight paths from S to T are:
1. **Path 1**:
   - Node sequence: S, A, C, T
   - Total weight: 6
   - Number of edges: 3
2. **Path 2**:
   - Node sequence: S, A, D, T
   - Total weight: 6
   - Number of edges: 3
3. **Path 3**:
   - Node sequence: S, B, C, T
   - Total weight: 6
   - Number of edges: 3
4. **Path 4**:
   - Node sequence: S, B, D, T
   - Total weight: 6
   - Number of edges: 3
### Summary of Method
- Used a modified Dijkstra's algorithm to track all paths achieving the minimum distance to each node.
- Initialized distances and processed nodes in order of increasing distance from S.
- For each node, updated distances to its neighbors and recorded paths accordingly.
- Upon reaching T, collected all paths that achieved the minimum distance.
- Verified that no other paths could achieve a lower total weight.</x:v>
      </x:c>
    </x:row>
    <x:row r="54" ht="48" customHeight="1">
      <x:c r="A54" s="29" t="str">
        <x:v>mistral_D05</x:v>
      </x:c>
      <x:c r="B54" s="30" t="n">
        <x:v>46248.00157383102</x:v>
      </x:c>
      <x:c r="C54" s="29" t="str">
        <x:v>C/D high multiplicity</x:v>
      </x:c>
      <x:c r="D54" s="29" t="str">
        <x:v>mistral</x:v>
      </x:c>
      <x:c r="E54" s="29" t="str">
        <x:v>D</x:v>
      </x:c>
      <x:c r="F54" s="29" t="n">
        <x:v>5</x:v>
      </x:c>
      <x:c r="G54" s="29" t="n">
        <x:v>200</x:v>
      </x:c>
      <x:c r="H54" s="29" t="str">
        <x:v>mistralai/mistral-large-2512</x:v>
      </x:c>
      <x:c r="I54" s="29" t="str">
        <x:v>mistral</x:v>
      </x:c>
      <x:c r="J54" s="29" t="str">
        <x:v>mistralai/mistral-large-2512</x:v>
      </x:c>
      <x:c r="K54" s="29" t="str">
        <x:v>Mistral</x:v>
      </x:c>
      <x:c r="L54" s="29" t="str">
        <x:v>gen-1786665719-w6jqf48unA4cetANeSb2</x:v>
      </x:c>
      <x:c r="M54" s="29" t="n">
        <x:v>162</x:v>
      </x:c>
      <x:c r="N54" s="29" t="n">
        <x:v>1367</x:v>
      </x:c>
      <x:c r="O54" s="29" t="n">
        <x:v>1529</x:v>
      </x:c>
      <x:c r="P54" s="31" t="n">
        <x:v>0.0021315</x:v>
      </x:c>
      <x:c r="Q54" s="32" t="str">
        <x:v>### Understanding the Problem
We are given a directed, weighted graph with nodes and edges as follows:
- **Nodes**: S, A, B, C, D, T
- **Edges and Weights**:
  - S → A: 1
  - A → T: 5
  - S → B: 2
  - B → T: 4
  - B → D: 1
  - S → C: 1
  - C → D: 2
  - D → T: 3
  - S → T: 7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perform a **breadth-first search (BFS) with priority** based on the total weight. Here's the general approach:
1. **Initialize**: Start from node S with a total weight of 0.
2. **Explore**: For each node, explore all outgoing edges, keeping track of the total weight to reach the next node.
3. **Track Paths**: Maintain not just the minimum weight to reach each node, but also all paths that achieve this minimum weight.
4. **Terminate**: When we reach node T, we record the path and its total weight. We continue until all possible paths with the same minimum weight are found.
5. **Compare**: After exploring all possible paths, identify the minimum weight and list all paths that achieve this weight.
Given the small size of the graph, we can also enumerate all possible paths and then select the ones with the minimum weight.
### Enumerating All Possible Paths from S to T
Let's list all possible paths from S to T and calculate their total weights.
1. **Direct Path**:
   - S → T
   - Weight: 7
   - Edges: 1
2. **Paths with One Intermediate Node**:
   - S → A → T
     - Weight: 1 (S→A) + 5 (A→T) = 6
     - Edges: 2
   - S → B → T
     - Weight: 2 (S→B) + 4 (B→T) = 6
     - Edges: 2
   - S → C → (no direct edge to T, so not possible to reach T in one more step)
3. **Paths with Two Intermediate Nodes**:
   - S → B → D → T
     - Weight: 2 (S→B) + 1 (B→D) + 3 (D→T) = 6
     - Edges: 3
   - S → C → D → T
     - Weight: 1 (S→C) + 2 (C→D) + 3 (D→T) = 6
     - Edges: 3
4. **Paths with More Intermediate Nodes**:
   - Any path with more than two intermediate nodes will have a higher total weight because the weights are positive, and adding more edges will only increase the total weight. For example:
     - S → A → ... (no outgoing edges from A except to T, which we've already considered)
     - S → B → A → ... (no edge from B to A)
     - S → C → B → ... (no edge from C to B)
     - etc.
From the above, the possible paths and their weights are:
1. S → T: 7
2. S → A → T: 6
3. S → B → T: 6
4. S → B → D → T: 6
5. S → C → D → T: 6
### Identifying Minimum-Weight Paths
The weights of the paths are: 7, 6, 6, 6, 6. The minimum weight is **6**.
All paths with weight 6 are:
1. S → A → T
2. S → B → T
3. S → B → D → T
4. S → C → D → T
### Verifying No Other Paths Exist
Let's ensure we haven't missed any paths:
- From S, we can go to A, B, C, or T.
  - S → A: only A → T is possible.
  - S → B: can go to T or D.
    - B → T: done.
    - B → D: only D → T is possible.
  - S → C: only C → D is possible, then D → T.
  - S → T: direct path.
No other edges exist, so no other paths are possible.
### Listing All Minimum-Weight Paths
Here are all distinct minimum-total-weight paths from S to T:
1. **Path**: S → A → T
   - **Total Weight**: 1 + 5 = 6
   - **Number of Edges**: 2
2. **Path**: S → B → T
   - **Total Weight**: 2 + 4 = 6
   - **Number of Edges**: 2
3. **Path**: S → B → D → T
   - **Total Weight**: 2 + 1 + 3 = 6
   - **Number of Edges**: 3
4. **Path**: S → C → D → T
   - **Total Weight**: 1 + 2 + 3 = 6
   - **Number of Edges**: 3
### Conclusion
After enumerating all possible paths from S to T and calculating their total weights, we've identified that the minimum total weight is **6**. There are **four distinct paths** that achieve this minimum weight:
1. S → A → T (Weight: 6, Edges: 2)
2. S → B → T (Weight: 6, Edges: 2)
3. S → B → D → T (Weight: 6, Edges: 3)
4. S → C → D → T (Weight: 6, Edges: 3)</x:v>
      </x:c>
    </x:row>
    <x:row r="55" ht="48" customHeight="1">
      <x:c r="A55" s="29" t="str">
        <x:v>deepseek_C01</x:v>
      </x:c>
      <x:c r="B55" s="30" t="n">
        <x:v>46248.00202856481</x:v>
      </x:c>
      <x:c r="C55" s="29" t="str">
        <x:v>C/D high multiplicity</x:v>
      </x:c>
      <x:c r="D55" s="29" t="str">
        <x:v>deepseek</x:v>
      </x:c>
      <x:c r="E55" s="29" t="str">
        <x:v>C</x:v>
      </x:c>
      <x:c r="F55" s="29" t="n">
        <x:v>1</x:v>
      </x:c>
      <x:c r="G55" s="29" t="n">
        <x:v>200</x:v>
      </x:c>
      <x:c r="H55" s="29" t="str">
        <x:v>deepseek/deepseek-v3.2-exp</x:v>
      </x:c>
      <x:c r="I55" s="29" t="str">
        <x:v>siliconflow</x:v>
      </x:c>
      <x:c r="J55" s="29" t="str">
        <x:v>deepseek/deepseek-v3.2-exp</x:v>
      </x:c>
      <x:c r="K55" s="29" t="str">
        <x:v>SiliconFlow</x:v>
      </x:c>
      <x:c r="L55" s="29" t="str">
        <x:v>gen-1786665737-SRaxYQ4vzj4tt0XyJSFC</x:v>
      </x:c>
      <x:c r="M55" s="29" t="n">
        <x:v>175</x:v>
      </x:c>
      <x:c r="N55" s="29" t="n">
        <x:v>972</x:v>
      </x:c>
      <x:c r="O55" s="29" t="n">
        <x:v>1147</x:v>
      </x:c>
      <x:c r="P55" s="31" t="n">
        <x:v>0.00044577</x:v>
      </x:c>
      <x:c r="Q55" s="32" t="str">
        <x:v>Alright, let’s go step by step.
---
## **Step 1: Understanding the graph**
We have nodes: **S, A, B, C, D, T**  
Edges with weights:
1. S → A : 1  
2. S → B : 1  
3. A → C : 2  
4. A → D : 2  
5. B → C : 2  
6. B → D : 2  
7. C → T : 3  
8. D → T : 3  
9. S → T : 7  
Graph is directed.
---
## **Step 2: Possible paths and weights**
We want **minimum-total-weight paths** from S to T.
Let’s list all possible paths except S→T direct (which has weight 7):
### **Via A:**
- S → A → C → T : 1 + 2 + 3 = 6  
- S → A → D → T : 1 + 2 + 3 = 6  
### **Via B:**
- S → B → C → T : 1 + 2 + 3 = 6  
- S → B → D → T : 1 + 2 + 3 = 6  
### **Direct:**
- S → T : 7  
---
## **Step 3: Check if any shorter path exists**
We can also consider if there is any longer path that’s actually shorter?  
No, because all 2-step paths via A or B to T don’t exist except via C or D.  
Also, could go S→A→B? No, no edge A→B. Similarly S→B→A? No.  
So only 3-step paths above (S → A/B → C/D → T) and 1-step S→T.
Weight 6 is less than 7.  
So minimum total weight is **6**.
---
## **Step 4: Find all paths with total weight 6**
From above:
1. S → A → C → T : weight = 1 + 2 + 3 = 6, edges = 3  
2. S → A → D → T : weight = 1 + 2 + 3 = 6, edges = 3  
3. S → B → C → T : weight = 1 + 2 + 3 = 6, edges = 3  
4. S → B → D → T : weight = 1 + 2 + 3 = 6, edges = 3  
No other paths of weight 6 exist because:
- If we try S→A→C→D→T, that’s not possible (C→D not an edge).  
- If we try S→B→D→C→T, not possible (D→C not an edge).  
- S→A→B? Not an edge.  
- S→B→A? Not an edge.  
- S→A→C→something else→T? Only C→T exists.  
- S→A→D→something else→T? Only D→T exists.  
So exactly **4 distinct minimum-weight paths**.
---
## **Step 5: Verification with Dijkstra (conceptually)**
Dijkstra from S:
dist[S] = 0  
S → A: dist[A] = 1  
S → B: dist[B] = 1  
S → T: dist[T] = 7 (initial)  
From A:  
A → C: dist[C] = 1 + 2 = 3  
A → D: dist[D] = 1 + 2 = 3  
From B:  
B → C: via B, dist[C] could be 1 + 2 = 3 (same as from A)  
B → D: dist[D] = 1 + 2 = 3 (same as from A)  
From C:  
C → T: dist[T] = min(7, 3 + 3 = 6) → now 6  
From D:  
D → T: dist[T] = min(6, 3 + 3 = 6) → stays 6  
So shortest distance = 6.
Now to find all shortest paths:  
We backtrack from T:
T can be reached from C (dist[C]=3, C→T=3, total 6) and from D (dist[D]=3, D→T=3, total 6).  
C can be reached from A (dist[A]=1, A→C=2, total 3) and from B (dist[B]=1, B→C=2, total 3).  
D can be reached from A (dist[A]=1, A→D=2, total 3) and from B (dist[B]=1, B→D=2, total 3).  
A reached from S (1)  
B reached from S (1)  
Thus all shortest paths:  
S→A→C→T  
S→B→C→T  
S→A→D→T  
S→B→D→T  
---
**Final answer:**
---
### **Minimum-total-weight paths from S to T:**
1. **Path:** S → A → C → T  
   **Total weight:** 6  
   **Number of edges:** 3  
2. **Path:** S → A → D → T  
   **Total weight:** 6  
   **Number of edges:** 3  
3. **Path:** S → B → C → T  
   **Total weight:** 6  
   **Number of edges:** 3  
4. **Path:** S → B → D → T  
   **Total weight:** 6  
   **Number of edges:** 3  
---
### **Method explanation:**
- Listed all possible directed paths.
- Computed total weights.
- Found minimum total weight = 6 (less than direct edge 7).
- Verified via Dijkstra’s algorithm to confirm distances and backtracked to find all shortest paths.
- All four 3-edge paths have weight 6, and no other paths have weight ≤ 6.</x:v>
      </x:c>
    </x:row>
    <x:row r="56" ht="48" customHeight="1">
      <x:c r="A56" s="29" t="str">
        <x:v>deepseek_D01</x:v>
      </x:c>
      <x:c r="B56" s="30" t="n">
        <x:v>46248.002625787034</x:v>
      </x:c>
      <x:c r="C56" s="29" t="str">
        <x:v>C/D high multiplicity</x:v>
      </x:c>
      <x:c r="D56" s="29" t="str">
        <x:v>deepseek</x:v>
      </x:c>
      <x:c r="E56" s="29" t="str">
        <x:v>D</x:v>
      </x:c>
      <x:c r="F56" s="29" t="n">
        <x:v>1</x:v>
      </x:c>
      <x:c r="G56" s="29" t="n">
        <x:v>200</x:v>
      </x:c>
      <x:c r="H56" s="29" t="str">
        <x:v>deepseek/deepseek-v3.2-exp</x:v>
      </x:c>
      <x:c r="I56" s="29" t="str">
        <x:v>siliconflow</x:v>
      </x:c>
      <x:c r="J56" s="29" t="str">
        <x:v>deepseek/deepseek-v3.2-exp</x:v>
      </x:c>
      <x:c r="K56" s="29" t="str">
        <x:v>SiliconFlow</x:v>
      </x:c>
      <x:c r="L56" s="29" t="str">
        <x:v>gen-1786665776-SBHMuAH3AAgTDQZS8FR7</x:v>
      </x:c>
      <x:c r="M56" s="29" t="n">
        <x:v>175</x:v>
      </x:c>
      <x:c r="N56" s="29" t="n">
        <x:v>1236</x:v>
      </x:c>
      <x:c r="O56" s="29" t="n">
        <x:v>1411</x:v>
      </x:c>
      <x:c r="P56" s="31" t="n">
        <x:v>0.00055401</x:v>
      </x:c>
      <x:c r="Q56" s="32" t="str">
        <x:v>Alright, let’s break this down step by step.  
---
## **1. Restating the graph edges**
Vertices: \( S, A, B, C, D, T \)  
Edges with weights:
1. \( S \to A : 1 \)  
2. \( A \to T : 5 \)  
3. \( S \to B : 2 \)  
4. \( B \to T : 4 \)  
5. \( B \to D : 1 \)  
6. \( S \to C : 1 \)  
7. \( C \to D : 2 \)  
8. \( D \to T : 3 \)  
9. \( S \to T : 7 \)  
We want **all distinct minimum-total-weight paths** from \( S \) to \( T \).
---
## **2. Idea of approach**
We can solve this by **Dijkstra’s algorithm** to find the shortest path distance from \( S \) to \( T \), but since we want **all** shortest paths, we need to track multiple predecessors whenever multiple ways yield the same shortest distance to a node.
We’ll compute shortest distances from \( S \) to each node, then backtrack from \( T \) to \( S \) along edges that satisfy:
\[
\text{dist}[u] + w(u \to v) = \text{dist}[v]
\]
---
## **3. Dijkstra’s step-by-step**
Let \( d[v] \) = shortest distance from \( S \) to \( v \).
Initialize:  
\( d[S] = 0 \)  
\( d[A] = \infty, d[B] = \infty, d[C] = \infty, d[D] = \infty, d[T] = \infty \)
---
**Step 1:** Start at \( S \).  
From \( S \):  
- \( S \to A: d[A] = 0 + 1 = 1 \)  
- \( S \to B: d[B] = 0 + 2 = 2 \)  
- \( S \to C: d[C] = 0 + 1 = 1 \)  
- \( S \to T: d[T] = 0 + 7 = 7 \)  
Queue: \( A(1), C(1), B(2), T(7) \)
---
**Step 2:** Pick \( A \) (distance 1).  
From \( A \):  
\( A \to T: d[T] = \min(7, 1 + 5 = 6) \) → \( d[T] = 6 \)  
Queue: \( C(1), B(2), T(6) \)
---
**Step 3:** Pick \( C \) (distance 1).  
From \( C \):  
\( C \to D: d[D] = 1 + 2 = 3 \)  
Queue: \( B(2), D(3), T(6) \)
---
**Step 4:** Pick \( B \) (distance 2).  
From \( B \):  
- \( B \to T: d[T] = \min(6, 2 + 4 = 6) \) → \( d[T] = 6 \) (same, so multiple paths possible)  
- \( B \to D: d[D] = \min(3, 2 + 1 = 3) \) → \( d[D] = 3 \) (same, so multiple paths possible)  
Queue: \( D(3), T(6) \)
---
**Step 5:** Pick \( D \) (distance 3).  
From \( D \):  
\( D \to T: d[T] = \min(6, 3 + 3 = 6) \) → \( d[T] = 6 \) (same, so multiple paths possible)  
Queue: \( T(6) \)
---
**Step 6:** Pick \( T \) (distance 6). Done.
---
Final distances:  
\( d[S] = 0 \)  
\( d[A] = 1 \)  
\( d[B] = 2 \)  
\( d[C] = 1 \)  
\( d[D] = 3 \)  
\( d[T] = 6 \)  
Shortest \( S \to T \) distance = 6.
---
## **4. Backtracking to find all shortest paths**
We start at \( T \) and see which edges could be last edge in a shortest path.
From \( T \), possible predecessors \( u \) such that \( d[u] + w(u \to T) = 6 \):
- \( A \to T: d[A] = 1, w = 5, 1 + 5 = 6 \) ✅  
- \( B \to T: d[B] = 2, w = 4, 2 + 4 = 6 \) ✅  
- \( D \to T: d[D] = 3, w = 3, 3 + 3 = 6 \) ✅  
So \( T \) has predecessors \( A, B, D \).
---
### **From \( A \):**  
\( A \) only reached from \( S \to A \) since \( d[A] = 1 \) and \( S \to A \) weight 1, \( d[S] = 0 \), so \( S \) is only predecessor.  
Path: \( S \to A \to T \)  
Weight: \( 1 + 5 = 6 \)  
Edges: 2  
---
### **From \( B \):**  
\( B \) reached from \( S \to B \) (since \( d[B] = 2, S \to B \) weight 2, \( d[S] = 0 \)), no other predecessor to \( B \).  
Path: \( S \to B \to T \)  
Weight: \( 2 + 4 = 6 \)  
Edges: 2  
---
### **From \( D \):**  
\( D \) has possible predecessors \( C \) and \( B \) (because \( d[D] = 3 \)):
- \( C \to D: d[C] = 1, w = 2, 1 + 2 = 3 \) ✅  
- \( B \to D: d[B] = 2, w = 1, 2 + 1 = 3 \) ✅  
So \( D \) has predecessors \( C, B \).
---
**From \( C \):**  
\( C \) reached only from \( S \to C \) (since \( d[C] = 1, S \to C \) weight 1).  
So one path: \( S \to C \to D \to T \)  
Weight: \( 1 + 2 + 3 = 6 \)  
Edges: 3  
---
**From \( B \) (as predecessor of \( D \)):**  
\( B \) reached only from \( S \to B \).  
So one path: \( S \to B \to D \to T \)  
Weight: \( 2 + 1 + 3 = 6 \)  
Edges: 3  
---
## **5. Collect all shortest paths**
1. \( S \to A \to T \)  
   Weight: 6  
   Edges: 2  
2. \( S \to B \to T \)  
   Weight: 6  
   Edges: 2  
3. \( S \to C \to D \to T \)  
   Weight: 6  
   Edges: 3  
4. \( S \to B \to D \to T \)  
   Weight: 6  
   Edges: 3  
---
**Check:** No other combination yields total weight 6.  
Direct \( S \to T \) is 7, so not shortest.
---
**Final answer:**
\[
\boxed{
\begin{aligned}
&amp;\text{1. } S \to A \to T, \text{ weight } 6, \text{ edges } 2 \\
&amp;\text{2. } S \to B \to T, \text{ weight } 6, \text{ edges } 2 \\
&amp;\text{3. } S \to C \to D \to T, \text{ weight } 6, \text{ edges } 3 \\
&amp;\text{4. } S \to B \to D \to T, \text{ weight } 6, \text{ edges } 3
\end{aligned}
}
\]
**Method:** Dijkstra’s algorithm to find shortest distance (6), then backtrack from \( T \) using the condition \( d[u] + w(u \to v) = d[v] \) to find all shortest paths.</x:v>
      </x:c>
    </x:row>
    <x:row r="57" ht="48" customHeight="1">
      <x:c r="A57" s="29" t="str">
        <x:v>deepseek_D02</x:v>
      </x:c>
      <x:c r="B57" s="30" t="n">
        <x:v>46248.00322820602</x:v>
      </x:c>
      <x:c r="C57" s="29" t="str">
        <x:v>C/D high multiplicity</x:v>
      </x:c>
      <x:c r="D57" s="29" t="str">
        <x:v>deepseek</x:v>
      </x:c>
      <x:c r="E57" s="29" t="str">
        <x:v>D</x:v>
      </x:c>
      <x:c r="F57" s="29" t="n">
        <x:v>2</x:v>
      </x:c>
      <x:c r="G57" s="29" t="n">
        <x:v>200</x:v>
      </x:c>
      <x:c r="H57" s="29" t="str">
        <x:v>deepseek/deepseek-v3.2-exp</x:v>
      </x:c>
      <x:c r="I57" s="29" t="str">
        <x:v>siliconflow</x:v>
      </x:c>
      <x:c r="J57" s="29" t="str">
        <x:v>deepseek/deepseek-v3.2-exp</x:v>
      </x:c>
      <x:c r="K57" s="29" t="str">
        <x:v>SiliconFlow</x:v>
      </x:c>
      <x:c r="L57" s="29" t="str">
        <x:v>gen-1786665828-RmfXUjh3dgVVUz8LulaO</x:v>
      </x:c>
      <x:c r="M57" s="29" t="n">
        <x:v>175</x:v>
      </x:c>
      <x:c r="N57" s="29" t="n">
        <x:v>1386</x:v>
      </x:c>
      <x:c r="O57" s="29" t="n">
        <x:v>1561</x:v>
      </x:c>
      <x:c r="P57" s="31" t="n">
        <x:v>0.00061551</x:v>
      </x:c>
      <x:c r="Q57" s="32" t="str">
        <x:v>Alright, let's go step-by-step.  
---
## **Step 1: List all edges with weights**
From the problem statement, edges are:
1. \( S \to A \) : 1  
2. \( A \to T \) : 5  
3. \( S \to B \) : 2  
4. \( B \to T \) : 4  
5. \( B \to D \) : 1  
6. \( S \to C \) : 1  
7. \( C \to D \) : 2  
8. \( D \to T \) : 3  
9. \( S \to T \) : 7  
---
## **Step 2: Find shortest distance from \( S \) to \( T \)**
We can use Dijkstra’s algorithm or just enumerate all possible simple paths (since graph is small).
Let’s list all possible simple paths from \( S \) to \( T \) and their total weights:
- **Path 1:** \( S \to T \) → weight = 7  
- **Path 2:** \( S \to A \to T \) → weight = \( 1 + 5 = 6 \)  
- **Path 3:** \( S \to B \to T \) → weight = \( 2 + 4 = 6 \)  
- **Path 4:** \( S \to C \to D \to T \) → weight = \( 1 + 2 + 3 = 6 \)  
- **Path 5:** \( S \to B \to D \to T \) → weight = \( 2 + 1 + 3 = 6 \)  
- **Path 6:** \( S \to C \to D \) … wait, that’s not complete, but \( S \to C \to D \to T \) is already Path 4.  
- **Path 7:** \( S \to B \to D \) … again incomplete unless we go to \( T \).  
Let’s check if there are longer paths like \( S \to C \to D \) then to \( T \) is already counted.  
What about \( S \to C \to \dots \) only goes to \( D \), then \( D \to T \).  
\( S \to B \to D \to T \) is Path 5 (weight 6).  
Check \( S \to A \) → no other edges from \( A \) except to \( T \).  
Check \( S \to B \) → from \( B \) to \( D \) or \( B \to T \).  
From \( D \) only to \( T \). So no other branching after \( D \).  
Check \( S \to C \) → only to \( D \).  
So all possible simple paths from \( S \) to \( T \) are:
1. \( S \to T \) : 7  
2. \( S \to A \to T \) : 6  
3. \( S \to B \to T \) : 6  
4. \( S \to C \to D \to T \) : 6  
5. \( S \to B \to D \to T \) : 6  
No other paths because:  
- \( A \) only connects \( S \) to \( T \).  
- \( B \) connects to \( T \) or \( D \), \( D \) connects to \( T \).  
- \( C \) connects to \( D \), \( D \) to \( T \).  
- No cycles in this graph except possibly not relevant since we only consider simple paths to \( T \).
---
## **Step 3: Determine minimum total weight**
From above, weights are 6 or 7.  
Minimum weight = 6.
---
## **Step 4: List all paths with weight 6**
1. \( S \to A \to T \) : weight 6, edges 2  
2. \( S \to B \to T \) : weight 6, edges 2  
3. \( S \to C \to D \to T \) : weight 6, edges 3  
4. \( S \to B \to D \to T \) : weight 6, edges 3  
---
## **Step 5: Verification via Dijkstra’s algorithm**
Let’s compute shortest distances from \( S \):
- \( dist[S] = 0 \)  
- From \( S \):  
  - to \( A \): 1  
  - to \( B \): 2  
  - to \( C \): 1  
  - to \( T \): 7  
Update:  
From \( A \) (dist 1):  
  - \( A \to T \): \( 1 + 5 = 6 \) → update \( dist[T] \) to 6 (from 7).  
From \( C \) (dist 1):  
  - \( C \to D \): \( 1 + 2 = 3 \) → \( dist[D] = 3 \).  
From \( B \) (dist 2):  
  - \( B \to T \): \( 2 + 4 = 6 \) → \( dist[T] \) stays 6.  
  - \( B \to D \): \( 2 + 1 = 3 \) → \( dist[D] \) stays 3 (equal to from C).  
From \( D \) (dist 3):  
  - \( D \to T \): \( 3 + 3 = 6 \) → \( dist[T] \) stays 6.  
So shortest distance \( S \) to \( T \) = 6.
---
Now, find all shortest paths:  
We can backtrack from \( T \):
\( T \) can be reached from:  
- \( A \) with \( dist[A] = 1 \) and edge \( A \to T \) weight 5 → \( 1 + 5 = 6 \) ✅  
- \( B \) with \( dist[B] = 2 \) and edge \( B \to T \) weight 4 → \( 2 + 4 = 6 \) ✅  
- \( D \) with \( dist[D] = 3 \) and edge \( D \to T \) weight 3 → \( 3 + 3 = 6 \) ✅  
Now backtrack \( A \):  
- \( A \) from \( S \) with edge weight 1 → path \( S \to A \to T \).
Backtrack \( B \):  
- \( B \) from \( S \) with edge weight 2 → path \( S \to B \to T \).
Backtrack \( D \):  
\( D \) can be reached from:  
- \( B \) with \( dist[B] = 2 \) and edge \( B \to D \) weight 1 → \( 2 + 1 = 3 \) ✅  
- \( C \) with \( dist[C] = 1 \) and edge \( C \to D \) weight 2 → \( 1 + 2 = 3 \) ✅  
So paths through \( D \):  
1. \( S \to C \to D \to T \)  
2. \( S \to B \to D \to T \)
No other ways to \( D \) (only from \( B \) and \( C \)).
---
## **Step 6: Final answer**
All minimum-total-weight paths (weight 6):
| Path sequence        | Total weight | Number of edges |
|----------------------|--------------|-----------------|
| \( S \to A \to T \)   | 6            | 2               |
| \( S \to B \to T \)   | 6            | 2               |
| \( S \to C \to D \to T \) | 6        | 3               |
| \( S \to B \to D \to T \) | 6        | 3               |
---
**Explanation of method:**  
I listed all simple paths from \( S \) to \( T \) in this small directed graph, summed their weights, and found the minimum weight is 6.  
I verified with Dijkstra’s algorithm to compute shortest distance (6) and backtracked to find all shortest paths, ensuring no path of weight 6 is missed.  
All four listed paths have total weight 6 and are distinct in node sequence.
---
**Final boxed answer:**
\[
\boxed{
\begin{array}{l}
\text{1. } S \to A \to T, \text{ weight } 6, \text{ edges } 2 \\
\text{2. } S \to B \to T, \text{ weight } 6, \text{ edges } 2 \\
\text{3. } S \to C \to D \to T, \text{ weight } 6, \text{ edges } 3 \\
\text{4. } S \to B \to D \to T, \text{ weight } 6, \text{ edges } 3
\end{array}
}
\]</x:v>
      </x:c>
    </x:row>
    <x:row r="58" ht="48" customHeight="1">
      <x:c r="A58" s="29" t="str">
        <x:v>deepseek_C02</x:v>
      </x:c>
      <x:c r="B58" s="30" t="n">
        <x:v>46248.00365194445</x:v>
      </x:c>
      <x:c r="C58" s="29" t="str">
        <x:v>C/D high multiplicity</x:v>
      </x:c>
      <x:c r="D58" s="29" t="str">
        <x:v>deepseek</x:v>
      </x:c>
      <x:c r="E58" s="29" t="str">
        <x:v>C</x:v>
      </x:c>
      <x:c r="F58" s="29" t="n">
        <x:v>2</x:v>
      </x:c>
      <x:c r="G58" s="29" t="n">
        <x:v>200</x:v>
      </x:c>
      <x:c r="H58" s="29" t="str">
        <x:v>deepseek/deepseek-v3.2-exp</x:v>
      </x:c>
      <x:c r="I58" s="29" t="str">
        <x:v>siliconflow</x:v>
      </x:c>
      <x:c r="J58" s="29" t="str">
        <x:v>deepseek/deepseek-v3.2-exp</x:v>
      </x:c>
      <x:c r="K58" s="29" t="str">
        <x:v>SiliconFlow</x:v>
      </x:c>
      <x:c r="L58" s="29" t="str">
        <x:v>gen-1786665880-kcSAxJJyTt6b9Fd862p8</x:v>
      </x:c>
      <x:c r="M58" s="29" t="n">
        <x:v>175</x:v>
      </x:c>
      <x:c r="N58" s="29" t="n">
        <x:v>904</x:v>
      </x:c>
      <x:c r="O58" s="29" t="n">
        <x:v>1079</x:v>
      </x:c>
      <x:c r="P58" s="31" t="n">
        <x:v>0.00041789</x:v>
      </x:c>
      <x:c r="Q58" s="32" t="str">
        <x:v>Let’s go step-by-step.
---
## **1. Graph representation**
Vertices: \( S, A, B, C, D, T \)  
Edges with weights:
1. \( S \to A \) : 1  
2. \( S \to B \) : 1  
3. \( A \to C \) : 2  
4. \( A \to D \) : 2  
5. \( B \to C \) : 2  
6. \( B \to D \) : 2  
7. \( C \to T \) : 3  
8. \( D \to T \) : 3  
9. \( S \to T \) : 7
---
## **2. Find shortest distances from S to T**
We can use Dijkstra’s algorithm (since all weights ≥ 0) to find the minimum distance from \( S \) to \( T \).
**Initialization:**  
\( \text{dist}(S) = 0 \)  
\( \text{dist}(others) = \infty \)
---
**Step 1:** Process \( S \)  
- \( S \to A \): dist \( 0+1=1 \) &lt; ∞ → dist(A) = 1  
- \( S \to B \): dist \( 0+1=1 \) &lt; ∞ → dist(B) = 1  
- \( S \to T \): dist \( 0+7=7 \) &lt; ∞ → dist(T) = 7  
Queue: \( A(1), B(1), T(7) \)
---
**Step 2:** Process \( A \) (dist = 1)  
- \( A \to C \): \( 1+2=3 \) &lt; ∞ → dist(C) = 3  
- \( A \to D \): \( 1+2=3 \) &lt; ∞ → dist(D) = 3  
Queue: \( B(1), C(3), D(3), T(7) \)
---
**Step 3:** Process \( B \) (dist = 1)  
- \( B \to C \): \( 1+2=3 \) = dist(C) → another path to C with same cost (3)  
- \( B \to D \): \( 1+2=3 \) = dist(D) → another path to D with same cost (3)  
Queue: \( C(3), D(3), T(7) \)
---
**Step 4:** Process \( C \) (dist = 3)  
- \( C \to T \): \( 3+3=6 \) &lt; 7 → dist(T) = 6  
Queue: \( D(3), T(6) \)
---
**Step 5:** Process \( D \) (dist = 3)  
- \( D \to T \): \( 3+3=6 \) = dist(T) → another path to T with same cost (6)  
Queue: \( T(6) \)
---
**Step 6:** Process \( T \) (dist = 6)  
Done.
---
**Shortest distance from S to T** = \( 6 \).
---
## **3. Enumerate all shortest paths (distance 6)**
We need all distinct sequences S → … → T with total weight 6.
From Dijkstra, we see that to reach T with distance 6, we must reach C or D with distance 3, then add edge weight 3 to T.
To reach C with distance 3:  
- Path 1: \( S \to A \to C \) (1 + 2 = 3)  
- Path 2: \( S \to B \to C \) (1 + 2 = 3)  
To reach D with distance 3:  
- Path 3: \( S \to A \to D \) (1 + 2 = 3)  
- Path 4: \( S \to B \to D \) (1 + 2 = 3)  
Now append \( C \to T \) or \( D \to T \) (weight 3):
From C:  
1. \( S \to A \to C \to T \) : weight = 1 + 2 + 3 = 6  
2. \( S \to B \to C \to T \) : weight = 1 + 2 + 3 = 6  
From D:  
3. \( S \to A \to D \to T \) : weight = 1 + 2 + 3 = 6  
4. \( S \to B \to D \to T \) : weight = 1 + 2 + 3 = 6  
Check direct path \( S \to T \) weight 7 — not shortest.
---
## **4. List all minimum-total-weight paths**
All have total weight = 6, edges = 3.
1. \( S \to A \to C \to T \)  
2. \( S \to B \to C \to T \)  
3. \( S \to A \to D \to T \)  
4. \( S \to B \to D \to T \)  
---
## **5. Final answer**
**Distinct minimum-weight paths from S to T:**
| Path sequence        | Total weight | Number of edges |
|----------------------|--------------|-----------------|
| S → A → C → T        | 6            | 3               |
| S → B → C → T        | 6            | 3               |
| S → A → D → T        | 6            | 3               |
| S → B → D → T        | 6            | 3               |
**Explanation:**  
Used Dijkstra’s algorithm to find shortest distance from S to T = 6.  
Traced back: shortest path must go S → (A or B) → (C or D) → T, each step’s weight fixed as given, total 1 + 2 + 3 = 6.  
All 4 combinations yield the same total weight, and all are distinct node sequences.</x:v>
      </x:c>
    </x:row>
    <x:row r="59" ht="48" customHeight="1">
      <x:c r="A59" s="29" t="str">
        <x:v>deepseek_D03</x:v>
      </x:c>
      <x:c r="B59" s="30" t="n">
        <x:v>46248.004065925925</x:v>
      </x:c>
      <x:c r="C59" s="29" t="str">
        <x:v>C/D high multiplicity</x:v>
      </x:c>
      <x:c r="D59" s="29" t="str">
        <x:v>deepseek</x:v>
      </x:c>
      <x:c r="E59" s="29" t="str">
        <x:v>D</x:v>
      </x:c>
      <x:c r="F59" s="29" t="n">
        <x:v>3</x:v>
      </x:c>
      <x:c r="G59" s="29" t="n">
        <x:v>200</x:v>
      </x:c>
      <x:c r="H59" s="29" t="str">
        <x:v>deepseek/deepseek-v3.2-exp</x:v>
      </x:c>
      <x:c r="I59" s="29" t="str">
        <x:v>siliconflow</x:v>
      </x:c>
      <x:c r="J59" s="29" t="str">
        <x:v>deepseek/deepseek-v3.2-exp</x:v>
      </x:c>
      <x:c r="K59" s="29" t="str">
        <x:v>SiliconFlow</x:v>
      </x:c>
      <x:c r="L59" s="29" t="str">
        <x:v>gen-1786665916-gs6U5lONUEDnRHDVixUz</x:v>
      </x:c>
      <x:c r="M59" s="29" t="n">
        <x:v>175</x:v>
      </x:c>
      <x:c r="N59" s="29" t="n">
        <x:v>856</x:v>
      </x:c>
      <x:c r="O59" s="29" t="n">
        <x:v>1031</x:v>
      </x:c>
      <x:c r="P59" s="31" t="n">
        <x:v>0.00039821</x:v>
      </x:c>
      <x:c r="Q59" s="32" t="str">
        <x:v>Alright, let’s go step by step.
---
## **Step 1 – Understanding the graph**
We have nodes: **S**, **A**, **B**, **C**, **D**, **T**  
Directed edges with weights:
1. S → A: 1  
2. A → T: 5  
3. S → B: 2  
4. B → T: 4  
5. B → D: 1  
6. S → C: 1  
7. C → D: 2  
8. D → T: 3  
9. S → T: 7  
---
## **Step 2 – Finding shortest paths from S to T**
We can use Dijkstra’s algorithm by hand.
**Initial distances:**  
dist[S] = 0, others = ∞  
---
**Process S:**  
- S → A: dist[A] = min(∞, 0+1) = 1  
- S → B: dist[B] = min(∞, 0+2) = 2  
- S → C: dist[C] = min(∞, 0+1) = 1  
- S → T: dist[T] = min(∞, 0+7) = 7  
Current frontier: A (1), B (2), C (1), T (7)  
Pick smallest unprocessed: A (1) or C (1). Let’s pick A first.
---
**Process A (dist=1):**  
- A → T: dist[T] = min(7, 1+5) = 6  
Now frontier: B (2), C (1), T (6)  
Pick C (dist=1).
---
**Process C (dist=1):**  
- C → D: dist[D] = min(∞, 1+2) = 3  
Frontier: B (2), D (3), T (6)  
Pick B (dist=2).
---
**Process B (dist=2):**  
- B → T: dist[T] = min(6, 2+4) = 6  
- B → D: dist[D] = min(3, 2+1) = 3 (unchanged)  
Frontier: D (3), T (6)  
Pick D (dist=3).
---
**Process D (dist=3):**  
- D → T: dist[T] = min(6, 3+3) = 6  
Frontier: T (6)  
Pick T (dist=6).
---
**Final shortest distance from S to T = 6.**
---
## **Step 3 – Trace all shortest paths of total weight 6**
We need all distinct node sequences S → … → T with total weight 6.
**Paths of weight 6:**
### 1. S → A → T  
Weight = 1 + 5 = 6  
Edges = 2
### 2. S → B → T  
Weight = 2 + 4 = 6  
Edges = 2
### 3. S → C → D → T  
Weight = 1 + 2 + 3 = 6  
Edges = 3
### 4. S → B → D → T  
Weight = 2 + 1 + 3 = 6  
Edges = 3  
Check if any other path of weight 6 exists:
- S → C → ??? → T: only C→D, then D→T, that’s path 3.  
- S → B → D → T already found.  
- S → A → ??? → T: only A→T, no other from A.  
- S → D directly? No edge S→D.  
- S → T direct is 7, not shortest.
---
Also check:  
S → B → D → T = 2+1+3 = 6 ✓  
S → C → D → T = 1+2+3 = 6 ✓  
No other combos:  
What about S → C → ??? → ??? → T? Only C→D, D→T.  
What about S → B → ??? → ??? → T? Only B→T and B→D, B→D→T already found.  
What about S → A → ??? → ??? → T? No.  
---
**Thus 4 distinct shortest paths.**
---
## **Step 4 – Verify no shorter than 6**
Check all possible routes systematically:
1. S→A→T = 6  
2. S→B→T = 6  
3. S→B→D→T = 6  
4. S→C→D→T = 6  
5. S→T = 7 (longer)  
What about S→C→B→T? No edge C→B.  
S→A→B→T? No edge A→B.  
S→A→D→T? No edge A→D.  
So indeed 4 shortest paths.
---
## **Step 5 – Final answer**
**Minimum total weight = 6**  
**Number of edges and paths:**
1. S → A → T, weight 6, edges 2  
2. S → B → T, weight 6, edges 2  
3. S → C → D → T, weight 6, edges 3  
4. S → B → D → T, weight 6, edges 3  
---
\[
\boxed{S \to A \to T,\ S \to B \to T,\ S \to C \to D \to T,\ S \to B \to D \to T}
\]
Each has total weight 6, with edge counts as listed.</x:v>
      </x:c>
    </x:row>
    <x:row r="60" ht="48" customHeight="1">
      <x:c r="A60" s="29" t="str">
        <x:v>deepseek_C03</x:v>
      </x:c>
      <x:c r="B60" s="30" t="n">
        <x:v>46248.00456238426</x:v>
      </x:c>
      <x:c r="C60" s="29" t="str">
        <x:v>C/D high multiplicity</x:v>
      </x:c>
      <x:c r="D60" s="29" t="str">
        <x:v>deepseek</x:v>
      </x:c>
      <x:c r="E60" s="29" t="str">
        <x:v>C</x:v>
      </x:c>
      <x:c r="F60" s="29" t="n">
        <x:v>3</x:v>
      </x:c>
      <x:c r="G60" s="29" t="n">
        <x:v>200</x:v>
      </x:c>
      <x:c r="H60" s="29" t="str">
        <x:v>deepseek/deepseek-v3.2-exp</x:v>
      </x:c>
      <x:c r="I60" s="29" t="str">
        <x:v>siliconflow</x:v>
      </x:c>
      <x:c r="J60" s="29" t="str">
        <x:v>deepseek/deepseek-v3.2-exp</x:v>
      </x:c>
      <x:c r="K60" s="29" t="str">
        <x:v>SiliconFlow</x:v>
      </x:c>
      <x:c r="L60" s="29" t="str">
        <x:v>gen-1786665952-Yn5dZhuDais9utdLj9Lg</x:v>
      </x:c>
      <x:c r="M60" s="29" t="n">
        <x:v>175</x:v>
      </x:c>
      <x:c r="N60" s="29" t="n">
        <x:v>1049</x:v>
      </x:c>
      <x:c r="O60" s="29" t="n">
        <x:v>1224</x:v>
      </x:c>
      <x:c r="P60" s="31" t="n">
        <x:v>0.00047734</x:v>
      </x:c>
      <x:c r="Q60" s="32" t="str">
        <x:v>Alright — let’s go step by step.  
---
## **Step 1 – Understanding the graph structure**
We have nodes: **S, A, B, C, D, T**  
Edges with weights:
1. S → A : 1  
2. S → B : 1  
3. A → C : 2  
4. A → D : 2  
5. B → C : 2  
6. B → D : 2  
7. C → T : 3  
8. D → T : 3  
9. S → T : 7  
We want **all distinct minimum-total-weight paths** from **S** to **T**.
---
## **Step 2 – Trying to find shortest distance using systematic search**
We can think of this as a shortest-path problem in a small DAG (edges are forward from S to T except maybe some parallel structure).
Let’s compute shortest distances from **S** to all nodes using brute-force reasoning (since graph is small):
From **S**:  
- S → A = 1  
- S → B = 1  
- S → T = 7 (direct)  
From **A**:  
A → C = 2 ⇒ S → A → C = 1 + 2 = 3  
A → D = 2 ⇒ S → A → D = 1 + 2 = 3  
From **B**:  
B → C = 2 ⇒ S → B → C = 1 + 2 = 3  
B → D = 2 ⇒ S → B → D = 1 + 2 = 3  
From **C**:  
C → T = 3 ⇒ S → C → T = dist(S→C) + 3  
From **D**:  
D → T = 3 ⇒ S → D → T = dist(S→D) + 3  
---
**Possible routes to T**:
1. **Via C**:  
   - S → A → C → T: dist(S→C) = 3, +3 = 6  
   - S → B → C → T: dist(S→C) = 3, +3 = 6  
2. **Via D**:  
   - S → A → D → T: dist(S→D) = 3, +3 = 6  
   - S → B → D → T: dist(S→D) = 3, +3 = 6  
3. **Direct**: S → T = 7  
---
So shortest distance from S to T is **6**.
---
## **Step 3 – Enumerating all paths of total weight 6**
From above:
1. **S → A → C → T**  
   Weight = 1 + 2 + 3 = 6  
   Edges = 3  
2. **S → A → D → T**  
   Weight = 1 + 2 + 3 = 6  
   Edges = 3  
3. **S → B → C → T**  
   Weight = 1 + 2 + 3 = 6  
   Edges = 3  
4. **S → B → D → T**  
   Weight = 1 + 2 + 3 = 6  
   Edges = 3  
---
Check if any path shorter than 6 exists:  
No, because S → A → T is impossible (no A→T edge).  
S → B → T is impossible (no B→T edge).  
S → C → T requires S→C: shortest S→C is 3, plus 3 = 6, so same.  
S → D → T requires S→D: shortest S→D is 3, plus 3 = 6.  
Actually, is there an S → C in one edge? No, only via A or B.  
Could there be S → A → B → …? No edge A→B or B→A.  
Could there be S → A → C → D → T? That would be longer (C→D doesn’t exist).  
So the only paths to T go through C or D, and to get to C or D cheapest is via A or B from S.  
---
**Check S → C via what?**  
S → A → C (3)  
S → B → C (3)  
S → C directly? No edge.  
**Check S → D similarly**:  
S → A → D (3)  
S → B → D (3)  
So indeed, the 4 listed are all possible 2-hop paths from S to {C, D}, then 1 hop to T.
---
Could there be a 3-edge path with total weight 6?  
Only if some edge weight is 0 (not here) or if we take S→A (1), A→C (2), C→T (3) — that’s 3 edges, weight 6.  
But that’s already counted.  
No other 3-edge paths: S→A→D→T is 1+2+3=6, same.  
What about S→A→C→something→T? No, C only goes to T.  
So indeed only 4 shortest paths.
---
## **Step 4 – Final answer**
**Minimum total weight = 6**  
**All minimum-weight paths:**
1. **Path:** S → A → C → T  
   **Total weight:** 6  
   **Number of edges:** 3  
2. **Path:** S → A → D → T  
   **Total weight:** 6  
   **Number of edges:** 3  
3. **Path:** S → B → C → T  
   **Total weight:** 6  
   **Number of edges:** 3  
4. **Path:** S → B → D → T  
   **Total weight:** 6  
   **Number of edges:** 3  
---
**Method explanation:**  
I computed shortest distances from S to intermediate nodes by inspection (since graph is small), found the shortest distance to T is 6 via either C or D, each reachable from S via A or B with total path weight 6. Enumerated all 4 combinations, verified no other paths have weight 6 or less except the direct S→T (weight 7).</x:v>
      </x:c>
    </x:row>
    <x:row r="61" ht="48" customHeight="1">
      <x:c r="A61" s="29" t="str">
        <x:v>deepseek_C04</x:v>
      </x:c>
      <x:c r="B61" s="30" t="n">
        <x:v>46248.00503064815</x:v>
      </x:c>
      <x:c r="C61" s="29" t="str">
        <x:v>C/D high multiplicity</x:v>
      </x:c>
      <x:c r="D61" s="29" t="str">
        <x:v>deepseek</x:v>
      </x:c>
      <x:c r="E61" s="29" t="str">
        <x:v>C</x:v>
      </x:c>
      <x:c r="F61" s="29" t="n">
        <x:v>4</x:v>
      </x:c>
      <x:c r="G61" s="29" t="n">
        <x:v>200</x:v>
      </x:c>
      <x:c r="H61" s="29" t="str">
        <x:v>deepseek/deepseek-v3.2-exp</x:v>
      </x:c>
      <x:c r="I61" s="29" t="str">
        <x:v>siliconflow</x:v>
      </x:c>
      <x:c r="J61" s="29" t="str">
        <x:v>deepseek/deepseek-v3.2-exp</x:v>
      </x:c>
      <x:c r="K61" s="29" t="str">
        <x:v>SiliconFlow</x:v>
      </x:c>
      <x:c r="L61" s="29" t="str">
        <x:v>gen-1786665995-VgaxDD3r6zTBTJCTidn7</x:v>
      </x:c>
      <x:c r="M61" s="29" t="n">
        <x:v>175</x:v>
      </x:c>
      <x:c r="N61" s="29" t="n">
        <x:v>919</x:v>
      </x:c>
      <x:c r="O61" s="29" t="n">
        <x:v>1094</x:v>
      </x:c>
      <x:c r="P61" s="31" t="n">
        <x:v>0.00042404</x:v>
      </x:c>
      <x:c r="Q61" s="32" t="str">
        <x:v>Alright, let's go step by step.
---
## **1. Understanding the graph**
We have nodes: **S, A, B, C, D, T**.
Edges with weights:
1. S → A : 1  
2. S → B : 1  
3. A → C : 2  
4. A → D : 2  
5. B → C : 2  
6. B → D : 2  
7. C → T : 3  
8. D → T : 3  
9. S → T : 7  
We want all distinct **minimum-total-weight paths** from S to T.
---
## **2. Direct path weight**
Direct S → T has weight **7**.
We suspect shorter paths via A, B, C, D.
---
## **3. Compute shortest path length systematically**
Let’s use Dijkstra’s algorithm in our head.
- Start: \( dist[S] = 0 \)
- From S:
  - S → A: dist[A] = 1
  - S → B: dist[B] = 1
  - S → T: dist[T] = 7 (for now)
- Next smallest unvisited: A (dist 1)
  - A → C: dist[C] = 1 + 2 = 3
  - A → D: dist[D] = 1 + 2 = 3
- Next smallest unvisited: B (dist 1)
  - B → C: via B to C = 1 + 2 = 3 (same as existing dist[C] = 3)
  - B → D: via B to D = 1 + 2 = 3 (same as existing dist[D] = 3)
- Next smallest unvisited: C (dist 3)
  - C → T: dist[T] = min(7, 3 + 3 = 6) → 6
- Next smallest unvisited: D (dist 3)
  - D → T: dist[T] = min(6, 3 + 3 = 6) → 6
So shortest distance from S to T is **6** (less than direct 7).
---
## **4. Find all paths with total weight 6**
We know:  
From S: go to A (cost 1) or B (cost 1).  
From A: go to C (cost 2) or D (cost 2) → total so far: 3.  
From B: go to C (cost 2) or D (cost 2) → total so far: 3.  
From C: go to T (cost 3) → total: 6.  
From D: go to T (cost 3) → total: 6.
Thus:
**Path 1:** S → A → C → T  
Weight: 1 + 2 + 3 = 6  
Edges: 3
**Path 2:** S → A → D → T  
Weight: 1 + 2 + 3 = 6  
Edges: 3
**Path 3:** S → B → C → T  
Weight: 1 + 2 + 3 = 6  
Edges: 3
**Path 4:** S → B → D → T  
Weight: 1 + 2 + 3 = 6  
Edges: 3
---
Check other possibilities:  
S → A → C → … no other from C except T.  
S → B → D → … no other from D except T.  
Also, S → A → B? No edge.  
S → B → A? No edge.  
S → C directly? No edge.  
S → D directly? No edge.  
What about S → A → C → D? No edge C → D.  
S → A → D → C? No edge D → C.  
So only 4 possible 3-edge paths above.
---
Could there be a 2-edge path with weight 6?  
Only possible if S → X (1) then X → T (5) but no edge X → T with weight 5.  
Or S → X (2) then X → T (4) but no S → X with weight 2 except S → T with 7 (already counted). So no.
Could there be a 4-edge path with weight 6?  
Possible? S → A → C → … C only goes to T, so no.  
S → A → D → … D only goes to T, so no.  
No cycles possible because graph is DAG-like here (no edges back to S, A, B from C/D/T). So no longer path with same weight 6.
---
## **5. Conclusion**
Minimum total weight: **6**  
All minimum-weight paths (4 in total):
1. **S → A → C → T**  
   Weight: 6  
   Edges: 3
2. **S → A → D → T**  
   Weight: 6  
   Edges: 3
3. **S → B → C → T**  
   Weight: 6  
   Edges: 3
4. **S → B → D → T**  
   Weight: 6  
   Edges: 3
---
**Method explanation:**  
Used Dijkstra’s algorithm to find shortest distance (6).  
Then enumerated all paths achieving that distance by considering:  
- First step: S → A or S → B (cost 1 each)  
- Second step: A → C or A → D or B → C or B → D (adds 2, total 3)  
- Third step: C → T or D → T (adds 3, total 6)  
All such combinations yield the 4 distinct paths listed.</x:v>
      </x:c>
    </x:row>
    <x:row r="62" ht="48" customHeight="1">
      <x:c r="A62" s="29" t="str">
        <x:v>deepseek_D04</x:v>
      </x:c>
      <x:c r="B62" s="30" t="n">
        <x:v>46248.005631354165</x:v>
      </x:c>
      <x:c r="C62" s="29" t="str">
        <x:v>C/D high multiplicity</x:v>
      </x:c>
      <x:c r="D62" s="29" t="str">
        <x:v>deepseek</x:v>
      </x:c>
      <x:c r="E62" s="29" t="str">
        <x:v>D</x:v>
      </x:c>
      <x:c r="F62" s="29" t="n">
        <x:v>4</x:v>
      </x:c>
      <x:c r="G62" s="29" t="n">
        <x:v>200</x:v>
      </x:c>
      <x:c r="H62" s="29" t="str">
        <x:v>deepseek/deepseek-v3.2-exp</x:v>
      </x:c>
      <x:c r="I62" s="29" t="str">
        <x:v>siliconflow</x:v>
      </x:c>
      <x:c r="J62" s="29" t="str">
        <x:v>deepseek/deepseek-v3.2-exp</x:v>
      </x:c>
      <x:c r="K62" s="29" t="str">
        <x:v>SiliconFlow</x:v>
      </x:c>
      <x:c r="L62" s="29" t="str">
        <x:v>gen-1786666035-pFC9ae0dNtjTpC6V6ID9</x:v>
      </x:c>
      <x:c r="M62" s="29" t="n">
        <x:v>175</x:v>
      </x:c>
      <x:c r="N62" s="29" t="n">
        <x:v>1234</x:v>
      </x:c>
      <x:c r="O62" s="29" t="n">
        <x:v>1409</x:v>
      </x:c>
      <x:c r="P62" s="31" t="n">
        <x:v>0.00055319</x:v>
      </x:c>
      <x:c r="Q62" s="32" t="str">
        <x:v>Alright — let’s work through this systematically.  
---
## **1. Restating the problem**
We have a directed weighted graph with nodes \( S, A, B, C, D, T \).  
Edges with weights:
\[
\begin{aligned}
&amp; S \to A : 1 \\
&amp; S \to B : 2 \\
&amp; S \to C : 1 \\
&amp; S \to T : 7 \\
&amp; A \to T : 5 \\
&amp; B \to T : 4 \\
&amp; B \to D : 1 \\
&amp; C \to D : 2 \\
&amp; D \to T : 3
\end{aligned}
\]
We want **all distinct minimum-total-weight paths** from \( S \) to \( T \).
---
## **2. Method**
We can use **Dijkstra’s algorithm** to find the shortest distance \( d[v] \) from \( S \) to each \( v \), and then **backtrack** from \( T \) to \( S \) using only edges that satisfy the shortest-path condition.
---
### **Step 1: Dijkstra’s algorithm**
Initialize:
\[
d[S] = 0, \quad d[A] = d[B] = d[C] = d[D] = d[T] = \infty
\]
**Queue** (node, distance) initially: \( (S, 0) \).
---
**Process \( S \) (dist 0):**
- \( S \to A \): \( d[A] = 0 + 1 = 1 \), update \( d[A] = 1 \)
- \( S \to B \): \( d[B] = 0 + 2 = 2 \), update \( d[B] = 2 \)
- \( S \to C \): \( d[C] = 0 + 1 = 1 \), update \( d[C] = 1 \)
- \( S \to T \): \( d[T] = 0 + 7 = 7 \), update \( d[T] = 7 \)
Queue now: \( (A,1), (C,1), (B,2), (T,7) \)
---
**Process \( A \) (dist 1):**
- \( A \to T \): \( 1 + 5 = 6 &lt; 7 \) → \( d[T] = 6 \)
Queue: \( (C,1), (B,2), (T,6) \)
---
**Process \( C \) (dist 1):**
- \( C \to D \): \( 1 + 2 = 3 \) → \( d[D] = 3 \)
Queue: \( (B,2), (T,6), (D,3) \)
---
**Process \( B \) (dist 2):**
- \( B \to T \): \( 2 + 4 = 6 \) (equal to current \( d[T] \), so another way to get \( T \) with distance 6)
- \( B \to D \): \( 2 + 1 = 3 \) (equal to current \( d[D] \), so another way to get \( D \) with distance 3)
Queue: \( (D,3), (T,6) \)
---
**Process \( D \) (dist 3):**
- \( D \to T \): \( 3 + 3 = 6 \) (equal to current \( d[T] \), so another way to get \( T \) with distance 6)
Queue: \( (T,6) \)
---
**Process \( T \) (dist 6):** no outgoing edges.
---
Final distances from \( S \):
\[
d[S] = 0, \quad d[A] = 1, \quad d[B] = 2, \quad d[C] = 1, \quad d[D] = 3, \quad d[T] = 6
\]
Minimum distance \( S \) to \( T \) is **6**.
---
## **3. Backtrack to find all shortest paths**
We find all paths from \( S \) to \( T \) with total weight \( 6 \).
From \( T \), look at incoming edges \( u \to T \) such that \( d[u] + w(u,T) = 6 \):
1. \( A \to T \) with weight 5: \( d[A] = 1 \), \( 1 + 5 = 6 \) ✅  
2. \( B \to T \) with weight 4: \( d[B] = 2 \), \( 2 + 4 = 6 \) ✅  
3. \( D \to T \) with weight 3: \( d[D] = 3 \), \( 3 + 3 = 6 \) ✅
So \( T \) is reached from \( A, B, D \) in shortest paths.
---
### **From \( A \):**
\( A \) is reached only from \( S \) (since only \( S \to A \) edge into \( A \)), \( d[S] + 1 = 1 \) ✅.
Path: \( S \to A \to T \)  
Weight: \( 1 + 5 = 6 \), edges: 2.
---
### **From \( B \):**
\( B \) is reached only from \( S \) (\( S \to B \) weight 2, \( d[S] + 2 = 2 \) ✅).
Path: \( S \to B \to T \)  
Weight: \( 2 + 4 = 6 \), edges: 2.
---
### **From \( D \):**
\( D \) has incoming edges from \( B \) and \( C \) such that \( d[u] + w(u,D) = 3 \):
- \( B \to D \) weight 1: \( d[B] = 2 \), \( 2 + 1 = 3 \) ✅  
- \( C \to D \) weight 2: \( d[C] = 1 \), \( 1 + 2 = 3 \) ✅
So \( D \) can be reached in shortest path from \( B \) or \( C \).
---
#### **From \( D \) via \( B \):**
\( B \) only from \( S \) (as before) → Path: \( S \to B \to D \to T \)  
Weight: \( 2 + 1 + 3 = 6 \), edges: 3.
---
#### **From \( D \) via \( C \):**
\( C \) only from \( S \) (\( S \to C \) weight 1, \( d[S] + 1 = 1 \) ✅) → Path: \( S \to C \to D \to T \)  
Weight: \( 1 + 2 + 3 = 6 \), edges: 3.
---
## **4. Collect all shortest paths**
1. \( S \to A \to T \) (weight 6, edges 2)  
2. \( S \to B \to T \) (weight 6, edges 2)  
3. \( S \to B \to D \to T \) (weight 6, edges 3)  
4. \( S \to C \to D \to T \) (weight 6, edges 3)
Check no others:  
- No other ways to reach \( A, B, C \) except directly from \( S \).  
- No other ways to reach \( D \) except \( B \) or \( C \) as above.  
- All combinations exhausted.
---
**Final answer:**
\[
\boxed{
\begin{aligned}
&amp;\text{Path 1: } S \to A \to T, \text{ weight } 6, \text{ edges } 2 \\
&amp;\text{Path 2: } S \to B \to T, \text{ weight } 6, \text{ edges } 2 \\
&amp;\text{Path 3: } S \to B \to D \to T, \text{ weight } 6, \text{ edges } 3 \\
&amp;\text{Path 4: } S \to C \to D \to T, \text{ weight } 6, \text{ edges } 3
\end{aligned}
}
\]
---
**Explanation of method:**  
Used Dijkstra’s algorithm to compute shortest distance from \( S \) to all nodes, found \( d[T] = 6 \). Then backtracked from \( T \) using edges \( (u,v) \) where \( d[u] + w(u,v) = d[v] \), enumerating all paths from \( S \) to \( T \) with total weight 6.</x:v>
      </x:c>
    </x:row>
    <x:row r="63" ht="48" customHeight="1">
      <x:c r="A63" s="29" t="str">
        <x:v>deepseek_C05</x:v>
      </x:c>
      <x:c r="B63" s="30" t="n">
        <x:v>46248.006224756944</x:v>
      </x:c>
      <x:c r="C63" s="29" t="str">
        <x:v>C/D high multiplicity</x:v>
      </x:c>
      <x:c r="D63" s="29" t="str">
        <x:v>deepseek</x:v>
      </x:c>
      <x:c r="E63" s="29" t="str">
        <x:v>C</x:v>
      </x:c>
      <x:c r="F63" s="29" t="n">
        <x:v>5</x:v>
      </x:c>
      <x:c r="G63" s="29" t="n">
        <x:v>200</x:v>
      </x:c>
      <x:c r="H63" s="29" t="str">
        <x:v>deepseek/deepseek-v3.2-exp</x:v>
      </x:c>
      <x:c r="I63" s="29" t="str">
        <x:v>siliconflow</x:v>
      </x:c>
      <x:c r="J63" s="29" t="str">
        <x:v>deepseek/deepseek-v3.2-exp</x:v>
      </x:c>
      <x:c r="K63" s="29" t="str">
        <x:v>SiliconFlow</x:v>
      </x:c>
      <x:c r="L63" s="29" t="str">
        <x:v>gen-1786666087-xRAcHcmQgmcyvEdUU7yx</x:v>
      </x:c>
      <x:c r="M63" s="29" t="n">
        <x:v>175</x:v>
      </x:c>
      <x:c r="N63" s="29" t="n">
        <x:v>1210</x:v>
      </x:c>
      <x:c r="O63" s="29" t="n">
        <x:v>1385</x:v>
      </x:c>
      <x:c r="P63" s="31" t="n">
        <x:v>0.00054335</x:v>
      </x:c>
      <x:c r="Q63" s="32" t="str">
        <x:v>Alright — let’s go step-by-step.
---
## **1. Understanding the graph**
Vertices: \( S, A, B, C, D, T \)  
Edges with weights:
1. \( S \to A \) : 1  
2. \( S \to B \) : 1  
3. \( A \to C \) : 2  
4. \( A \to D \) : 2  
5. \( B \to C \) : 2  
6. \( B \to D \) : 2  
7. \( C \to T \) : 3  
8. \( D \to T \) : 3  
9. \( S \to T \) : 7  
We want **all distinct minimum-total-weight paths** from \( S \) to \( T \).
---
## **2. Trying shortest path length**
First, check direct edge \( S \to T \) has weight \( 7 \).
Now check multistep paths:
From \( S \), we can go to \( A \) or \( B \) with cost \( 1 \).  
From \( A \), can go to \( C \) or \( D \) with cost \( 2 \) each.  
From \( B \), can go to \( C \) or \( D \) with cost \( 2 \) each.  
From \( C \) or \( D \), can go to \( T \) with cost \( 3 \).
So possible 3-edge paths:
1. \( S \to A \to C \to T \): \( 1 + 2 + 3 = 6 \)  
2. \( S \to A \to D \to T \): \( 1 + 2 + 3 = 6 \)  
3. \( S \to B \to C \to T \): \( 1 + 2 + 3 = 6 \)  
4. \( S \to B \to D \to T \): \( 1 + 2 + 3 = 6 \)
Check 2-edge paths:
\( S \to A \to T \) — no, \( A \to T \) doesn’t exist.  
\( S \to C \to T \) — no, \( S \to C \) doesn’t exist directly.  
\( S \to D \to T \) — no, \( S \to D \) doesn’t exist directly.
So shortest possible via intermediate nodes is 3 edges, weight \( 6 \).
Compare with \( S \to T \) direct: weight \( 7 \) — longer.
Thus **minimum weight = 6**.
---
## **3. Enumerating all minimum-weight paths**
From above, 4 paths of weight \( 6 \), each with 3 edges:
1. \( S, A, C, T \) — total weight \( 1 + 2 + 3 = 6 \), edges = 3  
2. \( S, A, D, T \) — total weight \( 1 + 2 + 3 = 6 \), edges = 3  
3. \( S, B, C, T \) — total weight \( 1 + 2 + 3 = 6 \), edges = 3  
4. \( S, B, D, T \) — total weight \( 1 + 2 + 3 = 6 \), edges = 3  
Check if any other path of weight 6 exists?  
What about \( S \to A \to C \to D \to T \)?  
\( A \to C \) (2), \( C \to D \) — not an edge.  
\( A \to D \) (2), \( D \to C \) — not an edge.  
So no 4-edge path possible with weight 6.
What about \( S \to A \to B \) — not an edge.  
What about \( S \to C \) via something else?  
Only \( S \to A \) or \( S \to B \), then to \( C \) or \( D \), then to \( T \).  
Thus exactly those 4 paths.
---
## **4. Verification with Dijkstra-like reasoning**
Let’s compute shortest distances from \( S \):
- \( d[S] = 0 \)  
- \( S \to A \): \( d[A] = 1 \)  
- \( S \to B \): \( d[B] = 1 \)  
- \( S \to T \): \( d[T] = 7 \) initially.
From \( A \) (dist 1):  
\( A \to C \): \( d[C] = 1 + 2 = 3 \)  
\( A \to D \): \( d[D] = 1 + 2 = 3 \)  
From \( B \) (dist 1):  
\( B \to C \): \( d[C] = \min(3, 1+2=3) = 3 \)  
\( B \to D \): \( d[D] = \min(3, 1+2=3) = 3 \)  
From \( C \) (dist 3):  
\( C \to T \): \( d[T] = \min(7, 3+3=6) = 6 \)  
From \( D \) (dist 3):  
\( D \to T \): \( d[T] = \min(6, 3+3=6) = 6 \)  
So shortest distance \( S \) to \( T \) is \( 6 \).
---
Now, find all shortest paths:  
Backtrack from \( T \):
- \( T \) is reached from \( C \) with cost \( 3 \), and \( C \) has \( d[C] = 3 \), so \( S \to \dots \to C \to T \) length \( 6 \).  
- \( T \) is reached from \( D \) with cost \( 3 \), and \( D \) has \( d[D] = 3 \), so \( S \to \dots \to D \to T \) length \( 6 \).
From \( C \), predecessors with edge leading to \( d[C] = 3 \):  
\( A \to C \) with weight 2, \( d[A] = 1 \), so \( S \to A \to C \) weight \( 1+2=3 \).  
\( B \to C \) with weight 2, \( d[B] = 1 \), so \( S \to B \to C \) weight \( 1+2=3 \).
From \( D \), predecessors:  
\( A \to D \) with weight 2, \( d[A] = 1 \), so \( S \to A \to D \) weight \( 3 \).  
\( B \to D \) with weight 2, \( d[B] = 1 \), so \( S \to B \to D \) weight \( 3 \).
So possible routes to \( T \):
1. \( S \to A \to C \to T \)  
2. \( S \to B \to C \to T \)  
3. \( S \to A \to D \to T \)  
4. \( S \to B \to D \to T \)
All have total weight \( 1 + 2 + 3 = 6 \), edges = 3.
---
## **5. Final answer**
**Minimum total weight:** \( 6 \)  
**Number of edges in each min-weight path:** \( 3 \)  
**All distinct minimum-weight paths:**
1. \( S \to A \to C \to T \) — total weight \( 6 \)  
2. \( S \to A \to D \to T \) — total weight \( 6 \)  
3. \( S \to B \to C \to T \) — total weight \( 6 \)  
4. \( S \to B \to D \to T \) — total weight \( 6 \)
---
**Method:**  
- Computed shortest distance from \( S \) using Dijkstra-like labeling.  
- Found minimum distance to \( T \) is \( 6 \).  
- Backtracked from \( T \) to find all shortest paths by checking all possible predecessors with correct distances.  
- Verified no shorter or equal-weight paths with different node sequences exist.</x:v>
      </x:c>
    </x:row>
    <x:row r="64" ht="48" customHeight="1">
      <x:c r="A64" s="29" t="str">
        <x:v>deepseek_D05</x:v>
      </x:c>
      <x:c r="B64" s="30" t="n">
        <x:v>46248.006785625</x:v>
      </x:c>
      <x:c r="C64" s="29" t="str">
        <x:v>C/D high multiplicity</x:v>
      </x:c>
      <x:c r="D64" s="29" t="str">
        <x:v>deepseek</x:v>
      </x:c>
      <x:c r="E64" s="29" t="str">
        <x:v>D</x:v>
      </x:c>
      <x:c r="F64" s="29" t="n">
        <x:v>5</x:v>
      </x:c>
      <x:c r="G64" s="29" t="n">
        <x:v>200</x:v>
      </x:c>
      <x:c r="H64" s="29" t="str">
        <x:v>deepseek/deepseek-v3.2-exp</x:v>
      </x:c>
      <x:c r="I64" s="29" t="str">
        <x:v>siliconflow</x:v>
      </x:c>
      <x:c r="J64" s="29" t="str">
        <x:v>deepseek/deepseek-v3.2-exp</x:v>
      </x:c>
      <x:c r="K64" s="29" t="str">
        <x:v>SiliconFlow</x:v>
      </x:c>
      <x:c r="L64" s="29" t="str">
        <x:v>gen-1786666139-0PO3KOh8ogo1kblZ2AGO</x:v>
      </x:c>
      <x:c r="M64" s="29" t="n">
        <x:v>175</x:v>
      </x:c>
      <x:c r="N64" s="29" t="n">
        <x:v>1306</x:v>
      </x:c>
      <x:c r="O64" s="29" t="n">
        <x:v>1481</x:v>
      </x:c>
      <x:c r="P64" s="31" t="n">
        <x:v>0.00058271</x:v>
      </x:c>
      <x:c r="Q64" s="32" t="str">
        <x:v>Alright, let’s go step-by-step.
---
## **1. Understanding the problem**
We have a weighted directed graph:
```
S → A: 1
A → T: 5
S → B: 2
B → T: 4
B → D: 1
S → C: 1
C → D: 2
D → T: 3
S → T: 7
```
We want **all distinct minimum-total-weight paths** from **S** to **T**.
That means:
1. Find the shortest-path distance from S to T.
2. Enumerate all paths achieving that minimal total weight.
---
## **2. Systematic enumeration of all paths**
We can list all possible simple paths from S to T.
Let’s list them in order of length (number of edges) and sum weights.
**Path 1:** S → T  
Weight = 7, edges = 1.
**Path 2:** S → A → T  
Weight = 1 + 5 = 6, edges = 2.
**Path 3:** S → B → T  
Weight = 2 + 4 = 6, edges = 2.
**Path 4:** S → C → D → T  
Weight = 1 + 2 + 3 = 6, edges = 3.
**Path 5:** S → B → D → T  
Weight = 2 + 1 + 3 = 6, edges = 3.
**Path 6:** S → C → D … wait, D to T is already included.  
We have S→C→D→T already (path 4).
**Path 7:** S → A → … no other edges from A except to T.
**Path 8:** S → B → … to D to T is path 5.
**Path 9:** S → C → … only to D.
**Path 10:** S → B → D → … only to T.
**Path 11:** S → C → D → T (same as path 4).
**Path 12:** Check if S → A → … → something else? No, only A→T.
**Path 13:** S → B → D → T (same as path 5).
**Path 14:** S → C → D → T (same as path 4).
**Path 15:** S → B → T (same as path 3).
**Path 16:** S → A → T (same as path 2).
---
Let’s check if any longer path exists:  
S → B → D → … only to T.  
S → C → D → … only to T.  
No cycles, so that’s all simple paths.
---
## **3. List all distinct paths with weights**
1. S → T: 7
2. S → A → T: 6
3. S → B → T: 6
4. S → C → D → T: 6
5. S → B → D → T: 6
No other simple paths.
---
## **4. Find minimal total weight**
Minimum weight among these:
- Min weight = 6 (since 6 &lt; 7).
So all paths with weight 6 are candidates for **minimum-total-weight paths**.
---
## **5. Verify with Dijkstra’s algorithm (to ensure no shorter path)**
**Step-by-step Dijkstra from S:**
Initial distances: dist[S] = 0, others ∞.
- From S:  
  to A: 1 → dist[A] = 1  
  to B: 2 → dist[B] = 2  
  to C: 1 → dist[C] = 1  
  to T: 7 → dist[T] = 7
Pick smallest unvisited: A (dist 1) or C (dist 1). Let’s pick C first.
- From C:  
  to D: 1 + 2 = 3 → dist[D] = 3
Pick A (dist 1):
- From A:  
  to T: 1 + 5 = 6 → dist[T] = min(7, 6) = 6
Pick B (dist 2):
- From B:  
  to T: 2 + 4 = 6 → dist[T] = min(6, 6) = 6  
  to D: 2 + 1 = 3 → dist[D] = min(3, 3) = 3
Pick D (dist 3):
- From D:  
  to T: 3 + 3 = 6 → dist[T] = min(6, 6) = 6
Final shortest distance from S to T = 6.
---
## **6. Enumerate all shortest paths**
From Dijkstra’s predecessor tree (but careful, we need all shortest paths):
We can trace back from T:
**T’s possible predecessors in shortest paths** (edges where dist[u] + w(u→T) = 6):
- A: dist[A] = 1, w(A→T) = 5 → 1+5=6 ✓
- B: dist[B] = 2, w(B→T) = 4 → 2+4=6 ✓
- D: dist[D] = 3, w(D→T) = 3 → 3+3=6 ✓
Now trace back from each:
**From A:**  
dist[A] = 1 came from S only (S→A:1).  
Path: S → A → T
**From B:**  
dist[B] = 2 came from S only (S→B:2).  
Path: S → B → T
**From D:**  
dist[D] = 3 came from:  
- B: dist[B]=2, w(B→D)=1 → 2+1=3 ✓  
- C: dist[C]=1, w(C→D)=2 → 1+2=3 ✓
So D has two shortest-path predecessors: B and C.
Now trace back from B and C:
B’s predecessor: S (S→B:2).  
C’s predecessor: S (S→C:1).
Thus shortest paths to D:  
1. S → B → D  
2. S → C → D
Thus shortest paths to T via D:  
1. S → B → D → T  
2. S → C → D → T
---
## **7. List all shortest paths (weight 6)**
1. S → A → T (weight 6, edges 2)  
2. S → B → T (weight 6, edges 2)  
3. S → B → D → T (weight 6, edges 3)  
4. S → C → D → T (weight 6, edges 3)
Check weights:  
1: 1+5=6  
2: 2+4=6  
3: 2+1+3=6  
4: 1+2+3=6
No other paths of weight 6 exist.
---
## **8. Final answer**
**Minimum-total-weight paths from S to T:**
| Node sequence     | Total weight | Number of edges |
|-------------------|--------------|-----------------|
| S → A → T         | 6            | 2               |
| S → B → T         | 6            | 2               |
| S → B → D → T     | 6            | 3               |
| S → C → D → T     | 6            | 3               |
---
**Method explanation:**  
First enumerated all simple paths and computed weights, found the minimum weight is 6.  
Confirmed using Dijkstra’s algorithm to find shortest distance = 6, then traced back all possible shortest-path predecessors from T to list all distinct shortest paths.  
All 4 listed paths have total weight 6, which is minimal.</x:v>
      </x:c>
    </x:row>
    <x:row r="65" ht="48" customHeight="1">
      <x:c r="A65" s="29" t="str">
        <x:v>claude_E01</x:v>
      </x:c>
      <x:c r="B65" s="30" t="n">
        <x:v>46248.05919866898</x:v>
      </x:c>
      <x:c r="C65" s="29" t="str">
        <x:v>E/H search burden</x:v>
      </x:c>
      <x:c r="D65" s="29" t="str">
        <x:v>claude</x:v>
      </x:c>
      <x:c r="E65" s="29" t="str">
        <x:v>E</x:v>
      </x:c>
      <x:c r="F65" s="29" t="n">
        <x:v>1</x:v>
      </x:c>
      <x:c r="G65" s="29" t="n">
        <x:v>200</x:v>
      </x:c>
      <x:c r="H65" s="29" t="str">
        <x:v>anthropic/claude-sonnet-4.6</x:v>
      </x:c>
      <x:c r="I65" s="29" t="str">
        <x:v>anthropic</x:v>
      </x:c>
      <x:c r="J65" s="29" t="str">
        <x:v>anthropic/claude-sonnet-4.6</x:v>
      </x:c>
      <x:c r="K65" s="29" t="str">
        <x:v>Anthropic</x:v>
      </x:c>
      <x:c r="L65" s="29" t="str">
        <x:v>gen-1786670704-I23zhNXnnuzxlUr9AEBI</x:v>
      </x:c>
      <x:c r="M65" s="29" t="n">
        <x:v>231</x:v>
      </x:c>
      <x:c r="N65" s="29" t="n">
        <x:v>714</x:v>
      </x:c>
      <x:c r="O65" s="29" t="n">
        <x:v>945</x:v>
      </x:c>
      <x:c r="P65" s="31" t="n">
        <x:v>0.011403</x:v>
      </x:c>
      <x:c r="Q65" s="32" t="str">
        <x:v>## Method: Dijkstra's Algorithm + Path Enumeration
### Step 1: Find shortest-path distances from S
I'll track the minimum cost to reach each node.
| Node | Distance | Via |
|------|----------|-----|
| S | 0 | — |
| A | 1 | S |
| B | 1 | S |
| C | 1+2 = 3 | A or B |
| D | 1+2 = 3 | A or B |
| E | 1+3 = 4 | A or B |
| F | 1+3 = 4 | A or B |
| G | 1+3 = 4 | A or B |
| T (via C or D) | 3+3 = **6** | C or D |
| T (via E, F, or G) | 4+3 = **7** | E, F, or G |
**Minimum distance to T = 6**
### Step 2: Identify edges on optimal paths
Only edges where `dist(u) + w(u,v) = dist(v)` qualify:
- S→A (0+1=1 ✓), S→B (0+1=1 ✓)
- A→C (1+2=3 ✓), A→D (1+2=3 ✓)
- B→C (1+2=3 ✓), B→D (1+2=3 ✓)
- C→T (3+3=6 ✓), D→T (3+3=6 ✓)
- E, F, G paths reach T at cost 7 ✗ (not minimum)
### Step 3: Enumerate all S→T paths using only optimal edges
**Structure:** S → {A or B} → {C or D} → T
That gives **2 × 2 = 4** combinations:
| Path | Total Weight | Edges |
|------|-------------|-------|
| S → A → C → T | 1+2+3 = **6** | 3 |
| S → A → D → T | 1+2+3 = **6** | 3 |
| S → B → C → T | 1+2+3 = **6** | 3 |
| S → B → D → T | 1+2+3 = **6** | 3 |
### Result
There are **4 distinct minimum-weight paths**, each with **total weight 6** and **3 edges**:
1. **S → A → C → T** | weight 6 | 3 edges
2. **S → A → D → T** | weight 6 | 3 edges
3. **S → B → C → T** | weight 6 | 3 edges
4. **S → B → D → T** | weight 6 | 3 edges</x:v>
      </x:c>
    </x:row>
    <x:row r="66" ht="48" customHeight="1">
      <x:c r="A66" s="29" t="str">
        <x:v>claude_F01</x:v>
      </x:c>
      <x:c r="B66" s="30" t="n">
        <x:v>46248.05935766204</x:v>
      </x:c>
      <x:c r="C66" s="29" t="str">
        <x:v>E/H search burden</x:v>
      </x:c>
      <x:c r="D66" s="29" t="str">
        <x:v>claude</x:v>
      </x:c>
      <x:c r="E66" s="29" t="str">
        <x:v>F</x:v>
      </x:c>
      <x:c r="F66" s="29" t="n">
        <x:v>1</x:v>
      </x:c>
      <x:c r="G66" s="29" t="n">
        <x:v>200</x:v>
      </x:c>
      <x:c r="H66" s="29" t="str">
        <x:v>anthropic/claude-sonnet-4.6</x:v>
      </x:c>
      <x:c r="I66" s="29" t="str">
        <x:v>anthropic</x:v>
      </x:c>
      <x:c r="J66" s="29" t="str">
        <x:v>anthropic/claude-sonnet-4.6</x:v>
      </x:c>
      <x:c r="K66" s="29" t="str">
        <x:v>Anthropic</x:v>
      </x:c>
      <x:c r="L66" s="29" t="str">
        <x:v>gen-1786670715-rM0BPM9rPWllIpgJEO6v</x:v>
      </x:c>
      <x:c r="M66" s="29" t="n">
        <x:v>224</x:v>
      </x:c>
      <x:c r="N66" s="29" t="n">
        <x:v>858</x:v>
      </x:c>
      <x:c r="O66" s="29" t="n">
        <x:v>1082</x:v>
      </x:c>
      <x:c r="P66" s="31" t="n">
        <x:v>0.013542</x:v>
      </x:c>
      <x:c r="Q66" s="32" t="str">
        <x:v>I'll use Dijkstra's algorithm to find the shortest path weight, then enumerate all paths achieving that weight.
## Step 1: Enumerate all S→T paths and their weights
Let me systematically find all paths:
**Through A:**
- S→A→T: 1+5 = **6**, 2 edges
**Through B:**
- S→B→T: 1+5 = **6**, 2 edges
**Through C:**
- S→C→T: 1+6 = **7**, 2 edges
- S→C→E→T: 1+2+3 = **6**, 3 edges
- S→C→F→T: 1+3+3 = **7**, 3 edges
**Through D:**
- S→D→T: 1+6 = **7**, 2 edges
- S→D→E→T: 1+3+3 = **7**, 3 edges
- S→D→F→T: 1+2+3 = **6**, 3 edges
**Through G:**
- S→G→T: 2+5 = **7**, 2 edges
*(No cycles or cross-paths possible that would create new routes not covered above, since C and D don't connect back, and E/F only go to T.)*
## Step 2: Identify minimum weight
The minimum total weight is **6**.
## Step 3: Verify with Dijkstra's
| Step | Node settled | dist[S]=0, dist[A]=1, dist[B]=1, dist[C]=1, dist[D]=1, dist[G]=2 |
|------|-------------|------------------------------------------------------------------|
Running Dijkstra:
- Start: dist[S]=0
- Settle S: dist[A]=1, dist[B]=1, dist[C]=1, dist[D]=1, dist[G]=2
- Settle A (dist=1): dist[T] = min(∞, 1+5)=6
- Settle B (dist=1): dist[T] = min(6, 1+5)=6
- Settle C (dist=1): dist[E]=min(∞,1+2)=3, dist[F]=min(∞,1+3)=4, dist[T]=min(6,1+6)=6
- Settle D (dist=1): dist[E]=min(3,1+3)=3, dist[F]=min(4,1+2)=3, dist[T]=min(6,1+6)=6
- Settle E (dist=3): dist[T]=min(6,3+3)=6
- Settle F (dist=3): dist[T]=min(6,3+3)=6
- Settle G (dist=2): dist[T]=min(6,2+5)=7 → no improvement
- Settle T (dist=6) ✓
**Shortest distance = 6**, confirmed.
## Results: All Minimum-Weight Paths
| Path | Node Sequence | Total Weight | Edges |
|------|--------------|-------------|-------|
| 1 | S → A → T | 6 | 2 |
| 2 | S → B → T | 6 | 2 |
| 3 | S → C → E → T | 6 | 3 |
| 4 | S → D → F → T | 6 | 3 |
These are **all 4 distinct minimum-weight paths**, each with total weight **6**.</x:v>
      </x:c>
    </x:row>
    <x:row r="67" ht="48" customHeight="1">
      <x:c r="A67" s="29" t="str">
        <x:v>claude_G01</x:v>
      </x:c>
      <x:c r="B67" s="30" t="n">
        <x:v>46248.05950627315</x:v>
      </x:c>
      <x:c r="C67" s="29" t="str">
        <x:v>E/H search burden</x:v>
      </x:c>
      <x:c r="D67" s="29" t="str">
        <x:v>claude</x:v>
      </x:c>
      <x:c r="E67" s="29" t="str">
        <x:v>G</x:v>
      </x:c>
      <x:c r="F67" s="29" t="n">
        <x:v>1</x:v>
      </x:c>
      <x:c r="G67" s="29" t="n">
        <x:v>200</x:v>
      </x:c>
      <x:c r="H67" s="29" t="str">
        <x:v>anthropic/claude-sonnet-4.6</x:v>
      </x:c>
      <x:c r="I67" s="29" t="str">
        <x:v>anthropic</x:v>
      </x:c>
      <x:c r="J67" s="29" t="str">
        <x:v>anthropic/claude-sonnet-4.6</x:v>
      </x:c>
      <x:c r="K67" s="29" t="str">
        <x:v>Anthropic</x:v>
      </x:c>
      <x:c r="L67" s="29" t="str">
        <x:v>gen-1786670729-5npXyBYlNavq7BKvxOme</x:v>
      </x:c>
      <x:c r="M67" s="29" t="n">
        <x:v>294</x:v>
      </x:c>
      <x:c r="N67" s="29" t="n">
        <x:v>867</x:v>
      </x:c>
      <x:c r="O67" s="29" t="n">
        <x:v>1161</x:v>
      </x:c>
      <x:c r="P67" s="31" t="n">
        <x:v>0.013887</x:v>
      </x:c>
      <x:c r="Q67" s="32" t="str">
        <x:v>## Method: Dijkstra's Algorithm / Path Enumeration
I'll find shortest-path distances first, then enumerate all paths achieving that minimum.
---
## Step 1: Find minimum distances from S to each node
**From S:**
- dist(S) = 0
- dist(A) = 1 (S→A)
- dist(B) = 1 (S→B)
**From A and B (weight 1), reaching C,D,E,F,G,H,I,J:**
- dist(C) = min(1+2, 1+2) = 3
- dist(D) = 3
- dist(E) = 3
- dist(F) = 3
- dist(G) = min(1+3, 1+3) = 4
- dist(H) = 4
- dist(I) = 4
- dist(J) = 4
**From C,D,E,F (weight 3) → T:**
- dist(T) via these = 3+3 = **6**
**From G,H,I,J (weight 4) → T:**
- dist(T) via these = 4+3 = **7**
So **dist(T) = 6**, achieved only through intermediate nodes C, D, E, or F.
---
## Step 2: Enumerate all minimum-weight paths (total weight = 6)
All minimum paths have the structure: **S → {A or B} → {C,D,E,F} → T**
Each path uses:
- S→A (weight 1) **or** S→B (weight 1)
- Then one of C, D, E, F (weight 2 from either A or B)
- Then C/D/E/F → T (weight 3)
**Starting with S→A (weight 1):**
- S→A→C→T (1+2+3=6) ✓
- S→A→D→T (1+2+3=6) ✓
- S→A→E→T (1+2+3=6) ✓
- S→A→F→T (1+2+3=6) ✓
**Starting with S→B (weight 1):**
- S→B→C→T (1+2+3=6) ✓
- S→B→D→T (1+2+3=6) ✓
- S→B→E→T (1+2+3=6) ✓
- S→B→F→T (1+2+3=6) ✓
---
## All Distinct Minimum-Weight Paths
| Path | Node Sequence | Total Weight | # Edges |
|------|--------------|--------------|---------|
| 1 | S → A → C → T | 6 | 3 |
| 2 | S → A → D → T | 6 | 3 |
| 3 | S → A → E → T | 6 | 3 |
| 4 | S → A → F → T | 6 | 3 |
| 5 | S → B → C → T | 6 | 3 |
| 6 | S → B → D → T | 6 | 3 |
| 7 | S → B → E → T | 6 | 3 |
| 8 | S → B → F → T | 6 | 3 |
**There are 8 distinct minimum-weight paths, each with total weight 6 and 3 edges.**</x:v>
      </x:c>
    </x:row>
    <x:row r="68" ht="48" customHeight="1">
      <x:c r="A68" s="29" t="str">
        <x:v>claude_H01</x:v>
      </x:c>
      <x:c r="B68" s="30" t="n">
        <x:v>46248.05962118055</x:v>
      </x:c>
      <x:c r="C68" s="29" t="str">
        <x:v>E/H search burden</x:v>
      </x:c>
      <x:c r="D68" s="29" t="str">
        <x:v>claude</x:v>
      </x:c>
      <x:c r="E68" s="29" t="str">
        <x:v>H</x:v>
      </x:c>
      <x:c r="F68" s="29" t="n">
        <x:v>1</x:v>
      </x:c>
      <x:c r="G68" s="29" t="n">
        <x:v>200</x:v>
      </x:c>
      <x:c r="H68" s="29" t="str">
        <x:v>anthropic/claude-sonnet-4.6</x:v>
      </x:c>
      <x:c r="I68" s="29" t="str">
        <x:v>anthropic</x:v>
      </x:c>
      <x:c r="J68" s="29" t="str">
        <x:v>anthropic/claude-sonnet-4.6</x:v>
      </x:c>
      <x:c r="K68" s="29" t="str">
        <x:v>Anthropic</x:v>
      </x:c>
      <x:c r="L68" s="29" t="str">
        <x:v>gen-1786670742-rf7zQT3xGHEevKEw9cVg</x:v>
      </x:c>
      <x:c r="M68" s="29" t="n">
        <x:v>322</x:v>
      </x:c>
      <x:c r="N68" s="29" t="n">
        <x:v>648</x:v>
      </x:c>
      <x:c r="O68" s="29" t="n">
        <x:v>970</x:v>
      </x:c>
      <x:c r="P68" s="31" t="n">
        <x:v>0.010686</x:v>
      </x:c>
      <x:c r="Q68" s="32" t="str">
        <x:v>I need to find all minimum-weight paths from S to T.
## Method: Enumerate path weights by structure
I'll categorize paths by their structure (intermediate nodes) and calculate total weights.
### Direct 2-edge paths (S → X → T)
| Path | Weight |
|------|--------|
| S→A→T | 1+5=6 |
| S→B→T | 1+5=6 |
| S→C→T | 1+5=6 |
| S→D→T | 1+5=6 |
| S→K→T | 2+5=7 |
| S→L→T | 2+5=7 |
| S→M→T | 2+5=7 |
| S→N→T | 2+5=7 |
### 3-edge paths (S → E/F → G/H/I/J → T)
From S→E (cost 1) or S→F (cost 1):
- S→E→G→T: 1+2+3=**6**
- S→E→H→T: 1+2+3=**6**
- S→E→I→T: 1+3+3=7
- S→E→J→T: 1+3+3=7
- S→F→G→T: 1+2+3=**6**
- S→F→H→T: 1+2+3=**6**
- S→F→I→T: 1+3+3=7
- S→F→J→T: 1+3+3=7
### Summary of minimum weight
The minimum total weight is **6**.
## All Minimum-Weight Paths (total weight = 6)
| Path | Node Sequence | Total Weight | # Edges |
|------|--------------|-------------|---------|
| 1 | S → A → T | 6 | 2 |
| 2 | S → B → T | 6 | 2 |
| 3 | S → C → T | 6 | 2 |
| 4 | S → D → T | 6 | 2 |
| 5 | S → E → G → T | 6 | 3 |
| 6 | S → E → H → T | 6 | 3 |
| 7 | S → F → G → T | 6 | 3 |
| 8 | S → F → H → T | 6 | 3 |
All other paths have total weight ≥ 7, so these 8 paths are all the distinct minimum-weight paths.</x:v>
      </x:c>
    </x:row>
    <x:row r="69" ht="48" customHeight="1">
      <x:c r="A69" s="29" t="str">
        <x:v>claude_H02</x:v>
      </x:c>
      <x:c r="B69" s="30" t="n">
        <x:v>46248.05972039352</x:v>
      </x:c>
      <x:c r="C69" s="29" t="str">
        <x:v>E/H search burden</x:v>
      </x:c>
      <x:c r="D69" s="29" t="str">
        <x:v>claude</x:v>
      </x:c>
      <x:c r="E69" s="29" t="str">
        <x:v>H</x:v>
      </x:c>
      <x:c r="F69" s="29" t="n">
        <x:v>2</x:v>
      </x:c>
      <x:c r="G69" s="29" t="n">
        <x:v>200</x:v>
      </x:c>
      <x:c r="H69" s="29" t="str">
        <x:v>anthropic/claude-sonnet-4.6</x:v>
      </x:c>
      <x:c r="I69" s="29" t="str">
        <x:v>anthropic</x:v>
      </x:c>
      <x:c r="J69" s="29" t="str">
        <x:v>anthropic/claude-sonnet-4.6</x:v>
      </x:c>
      <x:c r="K69" s="29" t="str">
        <x:v>Anthropic</x:v>
      </x:c>
      <x:c r="L69" s="29" t="str">
        <x:v>gen-1786670752-bDit3aW0PpuF9CGZX6SK</x:v>
      </x:c>
      <x:c r="M69" s="29" t="n">
        <x:v>322</x:v>
      </x:c>
      <x:c r="N69" s="29" t="n">
        <x:v>597</x:v>
      </x:c>
      <x:c r="O69" s="29" t="n">
        <x:v>919</x:v>
      </x:c>
      <x:c r="P69" s="31" t="n">
        <x:v>0.009921</x:v>
      </x:c>
      <x:c r="Q69" s="32" t="str">
        <x:v>I'll find all minimum-weight paths from S to T using Dijkstra's approach, then enumerate all paths achieving that minimum.
## Step 1: Categorize all S→T paths by total weight
**Direct 2-hop paths (S→X→T):**
- S→A→T: 1+5 = **6**
- S→B→T: 1+5 = **6**
- S→C→T: 1+5 = **6**
- S→D→T: 1+5 = **6**
- S→K→T: 2+5 = **7**
- S→L→T: 2+5 = **7**
- S→M→T: 2+5 = **7**
- S→N→T: 2+5 = **7**
**3-hop paths through G or H:**
- S→E→G→T: 1+2+3 = **6**
- S→E→H→T: 1+2+3 = **6**
- S→F→G→T: 1+2+3 = **6**
- S→F→H→T: 1+2+3 = **6**
**3-hop paths through I or J:**
- S→E→I→T: 1+3+3 = **7**
- S→E→J→T: 1+3+3 = **7**
- S→F→I→T: 1+3+3 = **7**
- S→F→J→T: 1+3+3 = **7**
## Step 2: Identify the minimum
The minimum total weight is **6**.
## Step 3: List all paths with total weight 6
| Path | Total Weight | Edges |
|------|-------------|-------|
| S → A → T | 6 | 2 |
| S → B → T | 6 | 2 |
| S → C → T | 6 | 2 |
| S → D → T | 6 | 2 |
| S → E → G → T | 6 | 3 |
| S → E → H → T | 6 | 3 |
| S → F → G → T | 6 | 3 |
| S → F → H → T | 6 | 3 |
**There are 8 distinct minimum-weight paths, each with total weight 6.**</x:v>
      </x:c>
    </x:row>
    <x:row r="70" ht="48" customHeight="1">
      <x:c r="A70" s="29" t="str">
        <x:v>claude_G02</x:v>
      </x:c>
      <x:c r="B70" s="30" t="n">
        <x:v>46248.05983413194</x:v>
      </x:c>
      <x:c r="C70" s="29" t="str">
        <x:v>E/H search burden</x:v>
      </x:c>
      <x:c r="D70" s="29" t="str">
        <x:v>claude</x:v>
      </x:c>
      <x:c r="E70" s="29" t="str">
        <x:v>G</x:v>
      </x:c>
      <x:c r="F70" s="29" t="n">
        <x:v>2</x:v>
      </x:c>
      <x:c r="G70" s="29" t="n">
        <x:v>200</x:v>
      </x:c>
      <x:c r="H70" s="29" t="str">
        <x:v>anthropic/claude-sonnet-4.6</x:v>
      </x:c>
      <x:c r="I70" s="29" t="str">
        <x:v>anthropic</x:v>
      </x:c>
      <x:c r="J70" s="29" t="str">
        <x:v>anthropic/claude-sonnet-4.6</x:v>
      </x:c>
      <x:c r="K70" s="29" t="str">
        <x:v>Anthropic</x:v>
      </x:c>
      <x:c r="L70" s="29" t="str">
        <x:v>gen-1786670760-GM9jL9WtdpRDHpWBMQq3</x:v>
      </x:c>
      <x:c r="M70" s="29" t="n">
        <x:v>294</x:v>
      </x:c>
      <x:c r="N70" s="29" t="n">
        <x:v>561</x:v>
      </x:c>
      <x:c r="O70" s="29" t="n">
        <x:v>855</x:v>
      </x:c>
      <x:c r="P70" s="31" t="n">
        <x:v>0.009297</x:v>
      </x:c>
      <x:c r="Q70" s="32" t="str">
        <x:v>## Method: Dijkstra's Algorithm / Exhaustive Path Analysis
### Step 1: Identify Path Structure
All paths from S to T have the form:
**S → {A or B} → {intermediate node} → T**
So every path has exactly **3 edges** (hops: S→X, X→Y, Y→T) with one intermediate "layer" node... wait, let me re-examine.
Actually paths go: S → (A or B) → (C,D,E,F,G,H,I,J) → T
That's **3 edges** per path.
### Step 2: Calculate Weights by Route Type
**Via A, then C/D/E/F:**
S→A→C→T: 1+2+3 = **6**
**Via A, then G/H/I/J:**
S→A→G→T: 1+3+3 = **7**
**Via B, then C/D/E/F:**
S→B→C→T: 1+2+3 = **6**
**Via B, then G/H/I/J:**
S→B→G→T: 1+3+3 = **7**
### Step 3: Identify Minimum Weight
The minimum total weight is **6**.
### Step 4: Enumerate All Minimum Paths
These all use the pattern S → {A or B} → {C,D,E,F} → T:
| Path | Total Weight | Edges |
|------|-------------|-------|
| S → A → C → T | 6 | 3 |
| S → A → D → T | 6 | 3 |
| S → A → E → T | 6 | 3 |
| S → A → F → T | 6 | 3 |
| S → B → C → T | 6 | 3 |
| S → B → D → T | 6 | 3 |
| S → B → E → T | 6 | 3 |
| S → B → F → T | 6 | 3 |
### Summary
There are **8 distinct minimum-weight paths**, each with total weight **6** and **3 edges**.
The paths via G, H, I, J all cost 7 and are therefore not minimum.</x:v>
      </x:c>
    </x:row>
    <x:row r="71" ht="48" customHeight="1">
      <x:c r="A71" s="29" t="str">
        <x:v>claude_F02</x:v>
      </x:c>
      <x:c r="B71" s="30" t="n">
        <x:v>46248.05994115741</x:v>
      </x:c>
      <x:c r="C71" s="29" t="str">
        <x:v>E/H search burden</x:v>
      </x:c>
      <x:c r="D71" s="29" t="str">
        <x:v>claude</x:v>
      </x:c>
      <x:c r="E71" s="29" t="str">
        <x:v>F</x:v>
      </x:c>
      <x:c r="F71" s="29" t="n">
        <x:v>2</x:v>
      </x:c>
      <x:c r="G71" s="29" t="n">
        <x:v>200</x:v>
      </x:c>
      <x:c r="H71" s="29" t="str">
        <x:v>anthropic/claude-sonnet-4.6</x:v>
      </x:c>
      <x:c r="I71" s="29" t="str">
        <x:v>anthropic</x:v>
      </x:c>
      <x:c r="J71" s="29" t="str">
        <x:v>anthropic/claude-sonnet-4.6</x:v>
      </x:c>
      <x:c r="K71" s="29" t="str">
        <x:v>Anthropic</x:v>
      </x:c>
      <x:c r="L71" s="29" t="str">
        <x:v>gen-1786670770-ec6cdKT8N0fKtwZxmWJb</x:v>
      </x:c>
      <x:c r="M71" s="29" t="n">
        <x:v>224</x:v>
      </x:c>
      <x:c r="N71" s="29" t="n">
        <x:v>572</x:v>
      </x:c>
      <x:c r="O71" s="29" t="n">
        <x:v>796</x:v>
      </x:c>
      <x:c r="P71" s="31" t="n">
        <x:v>0.009252</x:v>
      </x:c>
      <x:c r="Q71" s="32" t="str">
        <x:v>I'll use Dijkstra's algorithm to find the shortest path weight, then enumerate all paths achieving that weight.
## Step 1: Enumerate all S→T paths and their weights
Let me systematically find all paths:
**Through A:**
- S→A→T: 1+5 = **6**, 2 edges
**Through B:**
- S→B→T: 1+5 = **6**, 2 edges
**Through C:**
- S→C→T: 1+6 = **7**, 2 edges
- S→C→E→T: 1+2+3 = **6**, 3 edges
- S→C→F→T: 1+3+3 = **7**, 3 edges
**Through D:**
- S→D→T: 1+6 = **7**, 2 edges
- S→D→E→T: 1+3+3 = **7**, 3 edges
- S→D→F→T: 1+2+3 = **6**, 3 edges
**Through G:**
- S→G→T: 2+5 = **7**, 2 edges
*(No cycles possible since T has no outgoing edges and intermediate nodes don't loop back to S or each other in ways that reduce cost.)*
## Step 2: Identify the minimum weight
The minimum total weight is **6**.
## Step 3: Collect all paths with weight 6
| Path | Node Sequence | Total Weight | # Edges |
|------|--------------|-------------|---------|
| 1 | S → A → T | 6 | 2 |
| 2 | S → B → T | 6 | 2 |
| 3 | S → C → E → T | 6 | 3 |
| 4 | S → D → F → T | 6 | 3 |
## Verification
- S→A→T: 1+5 = 6 ✓
- S→B→T: 1+5 = 6 ✓
- S→C→E→T: 1+2+3 = 6 ✓
- S→D→F→T: 1+2+3 = 6 ✓
All other paths total 7 or more, so these four are the **only** minimum-weight paths.</x:v>
      </x:c>
    </x:row>
    <x:row r="72" ht="48" customHeight="1">
      <x:c r="A72" s="29" t="str">
        <x:v>claude_E02</x:v>
      </x:c>
      <x:c r="B72" s="30" t="n">
        <x:v>46248.06006525463</x:v>
      </x:c>
      <x:c r="C72" s="29" t="str">
        <x:v>E/H search burden</x:v>
      </x:c>
      <x:c r="D72" s="29" t="str">
        <x:v>claude</x:v>
      </x:c>
      <x:c r="E72" s="29" t="str">
        <x:v>E</x:v>
      </x:c>
      <x:c r="F72" s="29" t="n">
        <x:v>2</x:v>
      </x:c>
      <x:c r="G72" s="29" t="n">
        <x:v>200</x:v>
      </x:c>
      <x:c r="H72" s="29" t="str">
        <x:v>anthropic/claude-sonnet-4.6</x:v>
      </x:c>
      <x:c r="I72" s="29" t="str">
        <x:v>anthropic</x:v>
      </x:c>
      <x:c r="J72" s="29" t="str">
        <x:v>anthropic/claude-sonnet-4.6</x:v>
      </x:c>
      <x:c r="K72" s="29" t="str">
        <x:v>Anthropic</x:v>
      </x:c>
      <x:c r="L72" s="29" t="str">
        <x:v>gen-1786670780-yCeLjjsKVtOQ64c6ROoF</x:v>
      </x:c>
      <x:c r="M72" s="29" t="n">
        <x:v>231</x:v>
      </x:c>
      <x:c r="N72" s="29" t="n">
        <x:v>727</x:v>
      </x:c>
      <x:c r="O72" s="29" t="n">
        <x:v>958</x:v>
      </x:c>
      <x:c r="P72" s="31" t="n">
        <x:v>0.011598</x:v>
      </x:c>
      <x:c r="Q72" s="32" t="str">
        <x:v>## Method: Dijkstra's Algorithm / Path Enumeration
I'll find shortest distances first, then enumerate all paths achieving that minimum.
---
## Step 1: Find Minimum Distance via Dijkstra
**From S:**
- S→A: cost 1
- S→B: cost 1
**From A (cost 1):**
- S→A→C: 1+2 = 3
- S→A→D: 1+2 = 3
- S→A→E: 1+3 = 4
- S→A→F: 1+3 = 4
- S→A→G: 1+3 = 4
**From B (cost 1):**
- S→B→C: 1+2 = 3
- S→B→D: 1+2 = 3
- S→B→E: 1+3 = 4
- S→B→F: 1+3 = 4
- S→B→G: 1+3 = 4
**Settled distances:**
| Node | Distance |
|------|----------|
| S | 0 |
| A | 1 |
| B | 1 |
| C | 3 |
| D | 3 |
| E | 4 |
| F | 4 |
| G | 4 |
**From C (cost 3):** C→T: 3+3 = **6**
**From D (cost 3):** D→T: 3+3 = **6**
**From E (cost 4):** E→T: 4+3 = **7**
**From F (cost 4):** F→T: 4+3 = **7**
**From G (cost 4):** G→T: 4+3 = **7**
**Minimum distance S→T = 6**
---
## Step 2: Enumerate All Minimum-Weight Paths (total = 6)
Only paths through **C or D** reach T with cost 6.
**Through C:**
- S→A→C→T: 1+2+3 = 6 ✓
- S→B→C→T: 1+2+3 = 6 ✓
**Through D:**
- S→A→D→T: 1+2+3 = 6 ✓
- S→B→D→T: 1+2+3 = 6 ✓
---
## Results
| Path | Total Weight | Edges |
|------|-------------|-------|
| S → A → C → T | 6 | 3 |
| S → A → D → T | 6 | 3 |
| S → B → C → T | 6 | 3 |
| S → B → D → T | 6 | 3 |
All four paths are distinct minimum-weight paths with **total weight 6** and **3 edges** each.</x:v>
      </x:c>
    </x:row>
    <x:row r="73" ht="48" customHeight="1">
      <x:c r="A73" s="29" t="str">
        <x:v>claude_F03</x:v>
      </x:c>
      <x:c r="B73" s="30" t="n">
        <x:v>46248.060188877316</x:v>
      </x:c>
      <x:c r="C73" s="29" t="str">
        <x:v>E/H search burden</x:v>
      </x:c>
      <x:c r="D73" s="29" t="str">
        <x:v>claude</x:v>
      </x:c>
      <x:c r="E73" s="29" t="str">
        <x:v>F</x:v>
      </x:c>
      <x:c r="F73" s="29" t="n">
        <x:v>3</x:v>
      </x:c>
      <x:c r="G73" s="29" t="n">
        <x:v>200</x:v>
      </x:c>
      <x:c r="H73" s="29" t="str">
        <x:v>anthropic/claude-sonnet-4.6</x:v>
      </x:c>
      <x:c r="I73" s="29" t="str">
        <x:v>anthropic</x:v>
      </x:c>
      <x:c r="J73" s="29" t="str">
        <x:v>anthropic/claude-sonnet-4.6</x:v>
      </x:c>
      <x:c r="K73" s="29" t="str">
        <x:v>Anthropic</x:v>
      </x:c>
      <x:c r="L73" s="29" t="str">
        <x:v>gen-1786670790-JrYWtUqI2PSUMXlXVhkH</x:v>
      </x:c>
      <x:c r="M73" s="29" t="n">
        <x:v>224</x:v>
      </x:c>
      <x:c r="N73" s="29" t="n">
        <x:v>613</x:v>
      </x:c>
      <x:c r="O73" s="29" t="n">
        <x:v>837</x:v>
      </x:c>
      <x:c r="P73" s="31" t="n">
        <x:v>0.009867</x:v>
      </x:c>
      <x:c r="Q73" s="32" t="str">
        <x:v>I'll use Dijkstra's algorithm to find the shortest path weight, then enumerate all paths achieving that weight.
---
## Step 1: Enumerate all S→T paths and their weights
Let me systematically find all paths:
**Direct single-intermediate-node paths:**
- S→A→T: 1+5 = **6**
- S→B→T: 1+5 = **6**
- S→G→T: 2+5 = **7**
- S→C→T: 1+6 = **7**
- S→D→T: 1+6 = **7**
**Two-intermediate-node paths:**
- S→C→E→T: 1+2+3 = **6**
- S→C→F→T: 1+3+3 = **7**
- S→D→E→T: 1+3+3 = **7**
- S→D→F→T: 1+2+3 = **6**
**Three-intermediate-node paths:**
- S→C→E→T: already listed (E only connects to T)
- S→D→F→T: already listed (checking for more branches)
- Can C→F lead further? F→T only. Already counted S→C→F→T.
- Can D→E lead further? E→T only. Already counted S→D→E→T.
*No other combinations exist given the edge list.*
---
## Step 2: Identify the minimum weight
The minimum total weight is **6**.
---
## Step 3: All paths with total weight 6
| Path | Node Sequence | Total Weight | # Edges |
|------|--------------|-------------|---------|
| 1 | S → A → T | 6 | 2 |
| 2 | S → B → T | 6 | 2 |
| 3 | S → C → E → T | 6 | 3 |
| 4 | S → D → F → T | 6 | 3 |
---
## Verification
- S→A→T: 1+5 = 6 ✓
- S→B→T: 1+5 = 6 ✓
- S→C→E→T: 1+2+3 = 6 ✓
- S→D→F→T: 1+2+3 = 6 ✓
All other paths yield weight ≥ 7, confirming these four are the **only minimum-weight paths**.</x:v>
      </x:c>
    </x:row>
    <x:row r="74" ht="48" customHeight="1">
      <x:c r="A74" s="29" t="str">
        <x:v>claude_H03</x:v>
      </x:c>
      <x:c r="B74" s="30" t="n">
        <x:v>46248.0602999537</x:v>
      </x:c>
      <x:c r="C74" s="29" t="str">
        <x:v>E/H search burden</x:v>
      </x:c>
      <x:c r="D74" s="29" t="str">
        <x:v>claude</x:v>
      </x:c>
      <x:c r="E74" s="29" t="str">
        <x:v>H</x:v>
      </x:c>
      <x:c r="F74" s="29" t="n">
        <x:v>3</x:v>
      </x:c>
      <x:c r="G74" s="29" t="n">
        <x:v>200</x:v>
      </x:c>
      <x:c r="H74" s="29" t="str">
        <x:v>anthropic/claude-sonnet-4.6</x:v>
      </x:c>
      <x:c r="I74" s="29" t="str">
        <x:v>anthropic</x:v>
      </x:c>
      <x:c r="J74" s="29" t="str">
        <x:v>anthropic/claude-sonnet-4.6</x:v>
      </x:c>
      <x:c r="K74" s="29" t="str">
        <x:v>Anthropic</x:v>
      </x:c>
      <x:c r="L74" s="29" t="str">
        <x:v>gen-1786670801-IXcrK6bKRbNun7uBJirn</x:v>
      </x:c>
      <x:c r="M74" s="29" t="n">
        <x:v>322</x:v>
      </x:c>
      <x:c r="N74" s="29" t="n">
        <x:v>650</x:v>
      </x:c>
      <x:c r="O74" s="29" t="n">
        <x:v>972</x:v>
      </x:c>
      <x:c r="P74" s="31" t="n">
        <x:v>0.010716</x:v>
      </x:c>
      <x:c r="Q74" s="32" t="str">
        <x:v>I'll find all minimum-weight paths from S to T using Dijkstra's approach, then enumerate all paths achieving that minimum.
## Step 1: Categorize all S→T paths by structure
**Direct 2-hop paths** (S→X→T):
- S→A→T: 1+5 = **6**
- S→B→T: 1+5 = **6**
- S→C→T: 1+5 = **6**
- S→D→T: 1+5 = **6**
- S→K→T: 2+5 = **7**
- S→L→T: 2+5 = **7**
- S→M→T: 2+5 = **7**
- S→N→T: 2+5 = **7**
**3-hop paths through E or F, then G or H:**
- S→E→G→T: 1+2+3 = **6**
- S→E→H→T: 1+2+3 = **6**
- S→F→G→T: 1+2+3 = **6**
- S→F→H→T: 1+2+3 = **6**
**3-hop paths through E or F, then I or J:**
- S→E→I→T: 1+3+3 = **7**
- S→E→J→T: 1+3+3 = **7**
- S→F→I→T: 1+3+3 = **7**
- S→F→J→T: 1+3+3 = **7**
## Step 2: Identify the minimum weight
The minimum total weight is **6**.
## Step 3: List all paths achieving weight 6
| Path | Total Weight | Edges |
|------|-------------|-------|
| S → A → T | 6 | 2 |
| S → B → T | 6 | 2 |
| S → C → T | 6 | 2 |
| S → D → T | 6 | 2 |
| S → E → G → T | 6 | 3 |
| S → E → H → T | 6 | 3 |
| S → F → G → T | 6 | 3 |
| S → F → H → T | 6 | 3 |
**There are 8 distinct minimum-weight paths, each with total weight 6.**
- 4 paths use 2 edges (through A, B, C, or D)
- 4 paths use 3 edges (through E or F, then G or H)</x:v>
      </x:c>
    </x:row>
    <x:row r="75" ht="48" customHeight="1">
      <x:c r="A75" s="29" t="str">
        <x:v>claude_E03</x:v>
      </x:c>
      <x:c r="B75" s="30" t="n">
        <x:v>46248.06045118056</x:v>
      </x:c>
      <x:c r="C75" s="29" t="str">
        <x:v>E/H search burden</x:v>
      </x:c>
      <x:c r="D75" s="29" t="str">
        <x:v>claude</x:v>
      </x:c>
      <x:c r="E75" s="29" t="str">
        <x:v>E</x:v>
      </x:c>
      <x:c r="F75" s="29" t="n">
        <x:v>3</x:v>
      </x:c>
      <x:c r="G75" s="29" t="n">
        <x:v>200</x:v>
      </x:c>
      <x:c r="H75" s="29" t="str">
        <x:v>anthropic/claude-sonnet-4.6</x:v>
      </x:c>
      <x:c r="I75" s="29" t="str">
        <x:v>anthropic</x:v>
      </x:c>
      <x:c r="J75" s="29" t="str">
        <x:v>anthropic/claude-sonnet-4.6</x:v>
      </x:c>
      <x:c r="K75" s="29" t="str">
        <x:v>Anthropic</x:v>
      </x:c>
      <x:c r="L75" s="29" t="str">
        <x:v>gen-1786670811-ctXAuWH3gEWF1ZUiUtOF</x:v>
      </x:c>
      <x:c r="M75" s="29" t="n">
        <x:v>231</x:v>
      </x:c>
      <x:c r="N75" s="29" t="n">
        <x:v>891</x:v>
      </x:c>
      <x:c r="O75" s="29" t="n">
        <x:v>1122</x:v>
      </x:c>
      <x:c r="P75" s="31" t="n">
        <x:v>0.014058</x:v>
      </x:c>
      <x:c r="Q75" s="32" t="str">
        <x:v>## Method: Dijkstra's Algorithm + Path Enumeration
I'll find shortest distances first, then enumerate all paths achieving that minimum.
---
## Step 1: Find Minimum Distances (Dijkstra)
**From S:**
- S→A: 1, S→B: 1
**From A (cost 1):**
- A→C: 1+2=3, A→D: 1+2=3
- A→E: 1+3=4, A→F: 1+3=4, A→G: 1+3=4
**From B (cost 1):**
- B→C: 1+2=3, B→D: 1+2=3
- B→E: 1+3=4, B→F: 1+3=4, B→G: 1+3=4
**Settled distances:**
| Node | Dist |
|------|------|
| S | 0 |
| A | 1 |
| B | 1 |
| C | 3 |
| D | 3 |
| E | 4 |
| F | 4 |
| G | 4 |
**From C (cost 3):** C→T: 3+3=**6**
**From D (cost 3):** D→T: 3+3=**6**
**From E (cost 4):** E→T: 4+3=**7**
**From F (cost 4):** F→T: 4+3=**7**
**From G (cost 4):** G→T: 4+3=**7**
**Minimum distance S→T = 6**
---
## Step 2: Identify Edges on Optimal Subgraph
Only keep edges where `dist[u] + w(u,v) = dist[v]`:
- S→A (0+1=1 ✓), S→B (0+1=1 ✓)
- A→C (1+2=3 ✓), A→D (1+2=3 ✓)
- B→C (1+2=3 ✓), B→D (1+2=3 ✓)
- C→T (3+3=6 ✓), D→T (3+3=6 ✓)
- A→E, A→F, A→G, B→E, B→F, B→G all reach T at cost 7 ✗
---
## Step 3: Enumerate All Minimum Paths
Using only optimal edges, paths go: **S → {A or B} → {C or D} → T**
| Path | Total Weight | Edges |
|------|-------------|-------|
| S → A → C → T | 1+2+3 = **6** | 3 |
| S → A → D → T | 1+2+3 = **6** | 3 |
| S → B → C → T | 1+2+3 = **6** | 3 |
| S → B → D → T | 1+2+3 = **6** | 3 |
---
## Result
There are **4 distinct minimum-weight paths**, each with total weight **6** and **3 edges**:
1. **S → A → C → T** (weight 6, 3 edges)
2. **S → A → D → T** (weight 6, 3 edges)
3. **S → B → C → T** (weight 6, 3 edges)
4. **S → B → D → T** (weight 6, 3 edges)</x:v>
      </x:c>
    </x:row>
    <x:row r="76" ht="48" customHeight="1">
      <x:c r="A76" s="29" t="str">
        <x:v>claude_G03</x:v>
      </x:c>
      <x:c r="B76" s="30" t="n">
        <x:v>46248.060556157405</x:v>
      </x:c>
      <x:c r="C76" s="29" t="str">
        <x:v>E/H search burden</x:v>
      </x:c>
      <x:c r="D76" s="29" t="str">
        <x:v>claude</x:v>
      </x:c>
      <x:c r="E76" s="29" t="str">
        <x:v>G</x:v>
      </x:c>
      <x:c r="F76" s="29" t="n">
        <x:v>3</x:v>
      </x:c>
      <x:c r="G76" s="29" t="n">
        <x:v>200</x:v>
      </x:c>
      <x:c r="H76" s="29" t="str">
        <x:v>anthropic/claude-sonnet-4.6</x:v>
      </x:c>
      <x:c r="I76" s="29" t="str">
        <x:v>anthropic</x:v>
      </x:c>
      <x:c r="J76" s="29" t="str">
        <x:v>anthropic/claude-sonnet-4.6</x:v>
      </x:c>
      <x:c r="K76" s="29" t="str">
        <x:v>Anthropic</x:v>
      </x:c>
      <x:c r="L76" s="29" t="str">
        <x:v>gen-1786670824-AemzDQDNI7nEUGSXST6T</x:v>
      </x:c>
      <x:c r="M76" s="29" t="n">
        <x:v>294</x:v>
      </x:c>
      <x:c r="N76" s="29" t="n">
        <x:v>541</x:v>
      </x:c>
      <x:c r="O76" s="29" t="n">
        <x:v>835</x:v>
      </x:c>
      <x:c r="P76" s="31" t="n">
        <x:v>0.008997</x:v>
      </x:c>
      <x:c r="Q76" s="32" t="str">
        <x:v>## Method: Dijkstra's Algorithm / Path Enumeration
I'll find shortest paths by computing the minimum weight to reach T, then enumerate all paths achieving that weight.
---
## Step 1: Find the minimum weight
Every path from S to T has the structure: **S → {A or B} → {middle node} → T**
**Via A (cost S→A = 1):**
- S→A→{C,D,E,F}→T: 1 + 2 + 3 = **6**
- S→A→{G,H,I,J}→T: 1 + 3 + 3 = **7**
**Via B (cost S→B = 1):**
- S→B→{C,D,E,F}→T: 1 + 2 + 3 = **6**
- S→B→{G,H,I,J}→T: 1 + 3 + 3 = **7**
**Minimum total weight = 6**
---
## Step 2: Enumerate all minimum-weight paths (total weight = 6)
These are all paths of the form **S → {A or B} → {C, D, E, or F} → T**
| Path | Node Sequence | Total Weight | # Edges |
|------|--------------|-------------|---------|
| 1 | S → A → C → T | 6 | 3 |
| 2 | S → A → D → T | 6 | 3 |
| 3 | S → A → E → T | 6 | 3 |
| 4 | S → A → F → T | 6 | 3 |
| 5 | S → B → C → T | 6 | 3 |
| 6 | S → B → D → T | 6 | 3 |
| 7 | S → B → E → T | 6 | 3 |
| 8 | S → B → F → T | 6 | 3 |
---
## Summary
There are **8 distinct minimum-weight paths**, each with:
- **Total weight: 6**
- **Number of edges: 3**</x:v>
      </x:c>
    </x:row>
    <x:row r="77" ht="48" customHeight="1">
      <x:c r="A77" s="29" t="str">
        <x:v>mistral_E01</x:v>
      </x:c>
      <x:c r="B77" s="30" t="n">
        <x:v>46248.06083659722</x:v>
      </x:c>
      <x:c r="C77" s="29" t="str">
        <x:v>E/H search burden</x:v>
      </x:c>
      <x:c r="D77" s="29" t="str">
        <x:v>mistral</x:v>
      </x:c>
      <x:c r="E77" s="29" t="str">
        <x:v>E</x:v>
      </x:c>
      <x:c r="F77" s="29" t="n">
        <x:v>1</x:v>
      </x:c>
      <x:c r="G77" s="29" t="n">
        <x:v>200</x:v>
      </x:c>
      <x:c r="H77" s="29" t="str">
        <x:v>mistralai/mistral-large-2512</x:v>
      </x:c>
      <x:c r="I77" s="29" t="str">
        <x:v>mistral</x:v>
      </x:c>
      <x:c r="J77" s="29" t="str">
        <x:v>mistralai/mistral-large-2512</x:v>
      </x:c>
      <x:c r="K77" s="29" t="str">
        <x:v>Mistral</x:v>
      </x:c>
      <x:c r="L77" s="29" t="str">
        <x:v>gen-1786670833-aOk4XM6YebbqlFPsWq2m</x:v>
      </x:c>
      <x:c r="M77" s="29" t="n">
        <x:v>218</x:v>
      </x:c>
      <x:c r="N77" s="29" t="n">
        <x:v>2007</x:v>
      </x:c>
      <x:c r="O77" s="29" t="n">
        <x:v>2225</x:v>
      </x:c>
      <x:c r="P77" s="31" t="n">
        <x:v>0.0031195</x:v>
      </x:c>
      <x:c r="Q77" s="32" t="str">
        <x:v>### Understanding the Problem
We are given a directed, weighted graph with nodes and edges as follows:
- **Nodes**: S, A, B, C, D, E, F, G, T
- **Edges and Weights**:
  - S → A: 1
  - S → B: 1
  - A → C: 2
  - A → D: 2
  - B → C: 2
  - B → D: 2
  - C → T: 3
  - D → T: 3
  - A → E: 3
  - A → F: 3
  - A → G: 3
  - B → E: 3
  - B → F: 3
  - B → G: 3
  - E → T: 3
  - F → T: 3
  - G → T: 3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approach that keeps track of the shortest paths. Here's the general method:
1. **Initialize**: Start from node S with a total weight of 0.
2. **Explore Neighbors**: For each node, explore its neighbors, keeping track of the cumulative weight to reach each neighbor.
3. **Track Paths**: For each node, keep track of all paths that reach it with the minimum weight found so far.
4. **Terminate at T**: Once we reach T, we record the path if it's the first time or if it has the same weight as the current minimum.
5. **Avoid Reprocessing**: Ensure that we don't reprocess nodes with higher cumulative weights once a minimum has been found.
Given the small size of the graph, we can manually explore all possible paths and identify the ones with the minimum total weight.
### Exploring Paths from S to T
Let's list all possible paths from S to T and calculate their total weights.
#### Paths via A or B (first step)
From S, we can go to A or B, each with a weight of 1.
**Paths starting with S → A (weight = 1):**
1. **S → A → C → T**
   - S → A: 1
   - A → C: 2
   - C → T: 3
   - Total weight: 1 + 2 + 3 = 6
   - Number of edges: 3
2. **S → A → D → T**
   - S → A: 1
   - A → D: 2
   - D → T: 3
   - Total weight: 1 + 2 + 3 = 6
   - Number of edges: 3
3. **S → A → E → T**
   - S → A: 1
   - A → E: 3
   - E → T: 3
   - Total weight: 1 + 3 + 3 = 7
   - Number of edges: 3
4. **S → A → F → T**
   - S → A: 1
   - A → F: 3
   - F → T: 3
   - Total weight: 1 + 3 + 3 = 7
   - Number of edges: 3
5. **S → A → G → T**
   - S → A: 1
   - A → G: 3
   - G → T: 3
   - Total weight: 1 + 3 + 3 = 7
   - Number of edges: 3
**Paths starting with S → B (weight = 1):**
6. **S → B → C → T**
   - S → B: 1
   - B → C: 2
   - C → T: 3
   - Total weight: 1 + 2 + 3 = 6
   - Number of edges: 3
7. **S → B → D → T**
   - S → B: 1
   - B → D: 2
   - D → T: 3
   - Total weight: 1 + 2 + 3 = 6
   - Number of edges: 3
8. **S → B → E → T**
   - S → B: 1
   - B → E: 3
   - E → T: 3
   - Total weight: 1 + 3 + 3 = 7
   - Number of edges: 3
9. **S → B → F → T**
   - S → B: 1
   - B → F: 3
   - F → T: 3
   - Total weight: 1 + 3 + 3 = 7
   - Number of edges: 3
10. **S → B → G → T**
    - S → B: 1
    - B → G: 3
    - G → T: 3
    - Total weight: 1 + 3 + 3 = 7
    - Number of edges: 3
#### Summary of Path Weights
From the above, the paths and their total weights are:
- Weight 6:
  - S → A → C → T
  - S → A → D → T
  - S → B → C → T
  - S → B → D → T
- Weight 7:
  - S → A → E → T
  - S → A → F → T
  - S → A → G → T
  - S → B → E → T
  - S → B → F → T
  - S → B → G → T
The minimum total weight is **6**.
### Verifying No Shorter Paths Exist
Is it possible to have a path with a total weight less than 6?
- The first step from S is either to A or B, each with weight 1.
- From A or B, the next step to C or D is weight 2, totaling 3 so far.
- From C or D to T is weight 3, totaling 6.
- Any other path from A or B goes to E, F, or G with weight 3, then to T with weight 3, totaling 7.
Thus, the minimum possible total weight is indeed 6, achieved by the four paths listed above.
### Listing All Minimum-Weight Paths
Here are all distinct paths with the minimum total weight of 6:
1. **Path**: S → A → C → T
   - Total weight: 6
   - Number of edges: 3
2. **Path**: S → A → D → T
   - Total weight: 6
   - Number of edges: 3
3. **Path**: S → B → C → T
   - Total weight: 6
   - Number of edges: 3
4. **Path**: S → B → D → T
   - Total weight: 6
   - Number of edges: 3
### Final Answer
All distinct minimum-total-weight paths from S to T are:
1.
   - Node sequence: S → A → C → T
   - Total weight: 6
   - Number of edges: 3
2.
   - Node sequence: S → A → D → T
   - Total weight: 6
   - Number of edges: 3
3.
   - Node sequence: S → B → C → T
   - Total weight: 6
   - Number of edges: 3
4.
   - Node sequence: S → B → D → T
   - Total weight: 6
   - Number of edges: 3
### Explanation of Method
1. **Initialization**: Start at node S with a cumulative weight of 0.
2. **First Step**: From S, move to A or B, each adding 1 to the cumulative weight (now 1).
3. **Second Step**:
   - From A, move to C or D, each adding 2 (total weight now 3).
   - From B, move to C or D, each adding 2 (total weight now 3).
4. **Third Step**:
   - From C or D, move to T, adding 3 (total weight now 6).
5. **Alternative Paths**:
   - From A or B, moving to E, F, or G adds 3 (total weight now 4), then to T adds another 3 (total weight 7), which is not minimal.
6. **Conclusion**: The minimal total weight is 6, achieved by the four paths that go through C or D after A or B.
This exhaustive enumeration confirms that no paths with a total weight less than 6 exist, and the four listed paths are all the minimal ones.</x:v>
      </x:c>
    </x:row>
    <x:row r="78" ht="48" customHeight="1">
      <x:c r="A78" s="29" t="str">
        <x:v>mistral_F01</x:v>
      </x:c>
      <x:c r="B78" s="30" t="n">
        <x:v>46248.06123212963</x:v>
      </x:c>
      <x:c r="C78" s="29" t="str">
        <x:v>E/H search burden</x:v>
      </x:c>
      <x:c r="D78" s="29" t="str">
        <x:v>mistral</x:v>
      </x:c>
      <x:c r="E78" s="29" t="str">
        <x:v>F</x:v>
      </x:c>
      <x:c r="F78" s="29" t="n">
        <x:v>1</x:v>
      </x:c>
      <x:c r="G78" s="29" t="n">
        <x:v>200</x:v>
      </x:c>
      <x:c r="H78" s="29" t="str">
        <x:v>mistralai/mistral-large-2512</x:v>
      </x:c>
      <x:c r="I78" s="29" t="str">
        <x:v>mistral</x:v>
      </x:c>
      <x:c r="J78" s="29" t="str">
        <x:v>mistralai/mistral-large-2512</x:v>
      </x:c>
      <x:c r="K78" s="29" t="str">
        <x:v>Mistral</x:v>
      </x:c>
      <x:c r="L78" s="29" t="str">
        <x:v>gen-1786670857-tBQzgsgSALYggW2RkPVv</x:v>
      </x:c>
      <x:c r="M78" s="29" t="n">
        <x:v>211</x:v>
      </x:c>
      <x:c r="N78" s="29" t="n">
        <x:v>2938</x:v>
      </x:c>
      <x:c r="O78" s="29" t="n">
        <x:v>3149</x:v>
      </x:c>
      <x:c r="P78" s="31" t="n">
        <x:v>0.0045125</x:v>
      </x:c>
      <x:c r="Q78" s="32" t="str">
        <x:v>### Understanding the Problem
We are given a directed, weighted graph with nodes and edges as follows:
- **Nodes**: S, A, B, C, D, E, F, G, T
- **Edges and Weights**:
  - S → A: 1
  - A → T: 5
  - S → B: 1
  - B → T: 5
  - S → C: 1
  - C → E: 2
  - E → T: 3
  - S → D: 1
  - D → F: 2
  - F → T: 3
  - C → F: 3
  - D → E: 3
  - C → T: 6
  - D → T: 6
  - S → G: 2
  - G → T: 5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version of Dijkstra's algorithm, which is typically used to find the shortest path in a graph with non-negative edge weights. Here's how we'll adapt it:
1. **Initialize**: Start by assigning a tentative distance to all nodes. The distance to S is 0, and the distance to all other nodes is infinity. Also, keep track of the number of edges in the path and the actual paths themselves.
2. **Priority Queue**: Use a priority queue (min-heap) to process nodes in order of increasing tentative distance from S.
3. **Relaxation**: For each node, examine its outgoing edges. For each neighbor, calculate the new distance via the current node. If this new distance is less than the previously known distance, update the distance and record the path. If the new distance equals the previously known distance, we've found another path with the same minimum weight, so we add it to our list of minimum paths.
4. **Termination**: The algorithm terminates when the priority queue is empty. At this point, we'll have the minimum distance to T and all paths that achieve this distance.
### Applying the Algorithm
Let's apply this step-by-step to our graph.
#### Initialization
- **Distances**:
  - S: 0
  - A, B, C, D, G: ∞
  - T: ∞
- **Paths**:
  - S: [S]
  - Others: []
- **Number of edges**:
  - S: 0
  - Others: ∞
- **Priority Queue**: [(0, S)]
#### Processing Nodes
1. **Dequeue S (distance = 0)**:
   - Outgoing edges from S:
     - S → A: weight 1
       - New distance to A: 0 + 1 = 1
       - Path: [S, A]
       - Edges: 1
       - Update A's distance to 1, path to [S, A], edges to 1
     - S → B: weight 1
       - New distance to B: 0 + 1 = 1
       - Path: [S, B]
       - Edges: 1
       - Update B's distance to 1, path to [S, B], edges to 1
     - S → C: weight 1
       - New distance to C: 0 + 1 = 1
       - Path: [S, C]
       - Edges: 1
       - Update C's distance to 1, path to [S, C], edges to 1
     - S → D: weight 1
       - New distance to D: 0 + 1 = 1
       - Path: [S, D]
       - Edges: 1
       - Update D's distance to 1, path to [S, D], edges to 1
     - S → G: weight 2
       - New distance to G: 0 + 2 = 2
       - Path: [S, G]
       - Edges: 1
       - Update G's distance to 2, path to [S, G], edges to 1
   - Priority Queue after processing S: [(1, A), (1, B), (1, C), (1, D), (2, G)]
2. **Dequeue A (distance = 1)**:
   - Outgoing edges from A:
     - A → T: weight 5
       - New distance to T: 1 + 5 = 6
       - Path: [S, A, T]
       - Edges: 2
       - Update T's distance to 6, path to [S, A, T], edges to 2
   - Priority Queue: [(1, B), (1, C), (1, D), (2, G), (6, T)]
3. **Dequeue B (distance = 1)**:
   - Outgoing edges from B:
     - B → T: weight 5
       - New distance to T: 1 + 5 = 6
       - Path: [S, B, T]
       - Edges: 2
       - T's current distance is 6, which equals the new distance, so add this path to T's paths.
       - T's paths: [[S, A, T], [S, B, T]]
   - Priority Queue: [(1, C), (1, D), (2, G), (6, T)]
4. **Dequeue C (distance = 1)**:
   - Outgoing edges from C:
     - C → E: weight 2
       - New distance to E: 1 + 2 = 3
       - Path: [S, C, E]
       - Edges: 2
       - Update E's distance to 3, path to [S, C, E], edges to 2
     - C → F: weight 3
       - New distance to F: 1 + 3 = 4
       - Path: [S, C, F]
       - Edges: 2
       - Update F's distance to 4, path to [S, C, F], edges to 2
     - C → T: weight 6
       - New distance to T: 1 + 6 = 7
       - Path: [S, C, T]
       - Edges: 2
       - T's current distance is 6, which is less than 7, so ignore.
   - Priority Queue: [(1, D), (2, G), (3, E), (4, F), (6, T)]
5. **Dequeue D (distance = 1)**:
   - Outgoing edges from D:
     - D → F: weight 2
       - New distance to F: 1 + 2 = 3
       - Path: [S, D, F]
       - Edges: 2
       - F's current distance is 4, which is greater than 3, so update F's distance to 3, path to [S, D, F], edges to 2
     - D → E: weight 3
       - New distance to E: 1 + 3 = 4
       - Path: [S, D, E]
       - Edges: 2
       - E's current distance is 3, which is less than 4, so ignore.
     - D → T: weight 6
       - New distance to T: 1 + 6 = 7
       - Path: [S, D, T]
       - Edges: 2
       - T's current distance is 6, which is less than 7, so ignore.
   - Priority Queue: [(2, G), (3, E), (3, F), (6, T)]
6. **Dequeue G (distance = 2)**:
   - Outgoing edges from G:
     - G → T: weight 5
       - New distance to T: 2 + 5 = 7
       - Path: [S, G, T]
       - Edges: 2
       - T's current distance is 6, which is less than 7, so ignore.
   - Priority Queue: [(3, E), (3, F), (6, T)]
7. **Dequeue E (distance = 3)**:
   - Outgoing edges from E:
     - E → T: weight 3
       - New distance to T: 3 + 3 = 6
       - Path: [S, C, E, T]
       - Edges: 3
       - T's current distance is 6, which equals the new distance, so add this path to T's paths.
       - T's paths: [[S, A, T], [S, B, T], [S, C, E, T]]
   - Priority Queue: [(3, F), (6, T)]
8. **Dequeue F (distance = 3)**:
   - Outgoing edges from F:
     - F → T: weight 3
       - New distance to T: 3 + 3 = 6
       - Path: [S, D, F, T]
       - Edges: 3
       - T's current distance is 6, which equals the new distance, so add this path to T's paths.
       - T's paths: [[S, A, T], [S, B, T], [S, C, E, T], [S, D, F, T]]
   - Priority Queue: [(6, T)]
9. **Dequeue T (distance = 6)**:
   - No outgoing edges to process.
   - Priority Queue: []
#### Verifying Other Paths
At this point, we've processed all nodes, and the minimum distance to T is 6. The paths that achieve this distance are:
1. S → A → T
   - Weight: 1 (S→A) + 5 (A→T) = 6
   - Edges: 2
2. S → B → T
   - Weight: 1 (S→B) + 5 (B→T) = 6
   - Edges: 2
3. S → C → E → T
   - Weight: 1 (S→C) + 2 (C→E) + 3 (E→T) = 6
   - Edges: 3
4. S → D → F → T
   - Weight: 1 (S→D) + 2 (D→F) + 3 (F→T) = 6
   - Edges: 3
Now, let's check if there are any other paths with a total weight of 6 that we might have missed.
- **S → C → F → T**:
  - Weight: 1 (S→C) + 3 (C→F) + 3 (F→T) = 7 (Not minimum)
- **S → D → E → T**:
  - Weight: 1 (S→D) + 3 (D→E) + 3 (E→T) = 7 (Not minimum)
- **S → G → T**:
  - Weight: 2 (S→G) + 5 (G→T) = 7 (Not minimum)
- **S → C → T**:
  - Weight: 1 + 6 = 7 (Not minimum)
- **S → D → T**:
  - Weight: 1 + 6 = 7 (Not minimum)
No other paths have a total weight of 6, so the four paths listed above are all the minimum-weight paths.
### Final Answer
All distinct minimum-total-weight paths from S to T are as follows:
1. **Path**: S → A → T
   - **Total Weight**: 6
   - **Number of Edges**: 2
2. **Path**: S → B → T
   - **Total Weight**: 6
   - **Number of Edges**: 2
3. **Path**: S → C → E → T
   - **Total Weight**: 6
   - **Number of Edges**: 3
4. **Path**: S → D → F → T
   - **Total Weight**: 6
   - **Number of Edges**: 3
### Explanation of Method
The method used is a modified Dijkstra's algorithm that not only finds the shortest path but also keeps track of all paths that achieve the shortest distance. Here's a summary:
1. **Initialization**: Start with the source node S, setting its distance to 0 and all other nodes to infinity.
2. **Priority Queue**: Use a min-heap to always expand the node with the current smallest tentative distance.
3. **Relaxation**: For each node, update the distances of its neighbors. If a shorter path is found, update the distance and path. If an equally short path is found, add it to the list of shortest paths.
4. **Termination**: The algorithm stops when the priority queue is empty, ensuring all possible shortest paths have been found.
This approach efficiently explores the graph while keeping track of all minimum-weight paths, ensuring completeness and correctness.</x:v>
      </x:c>
    </x:row>
    <x:row r="79" ht="48" customHeight="1">
      <x:c r="A79" s="29" t="str">
        <x:v>mistral_G01</x:v>
      </x:c>
      <x:c r="B79" s="30" t="n">
        <x:v>46248.061489768515</x:v>
      </x:c>
      <x:c r="C79" s="29" t="str">
        <x:v>E/H search burden</x:v>
      </x:c>
      <x:c r="D79" s="29" t="str">
        <x:v>mistral</x:v>
      </x:c>
      <x:c r="E79" s="29" t="str">
        <x:v>G</x:v>
      </x:c>
      <x:c r="F79" s="29" t="n">
        <x:v>1</x:v>
      </x:c>
      <x:c r="G79" s="29" t="n">
        <x:v>200</x:v>
      </x:c>
      <x:c r="H79" s="29" t="str">
        <x:v>mistralai/mistral-large-2512</x:v>
      </x:c>
      <x:c r="I79" s="29" t="str">
        <x:v>mistral</x:v>
      </x:c>
      <x:c r="J79" s="29" t="str">
        <x:v>mistralai/mistral-large-2512</x:v>
      </x:c>
      <x:c r="K79" s="29" t="str">
        <x:v>Mistral</x:v>
      </x:c>
      <x:c r="L79" s="29" t="str">
        <x:v>gen-1786670891-6hjBDlSDeeRMKHZojcrx</x:v>
      </x:c>
      <x:c r="M79" s="29" t="n">
        <x:v>281</x:v>
      </x:c>
      <x:c r="N79" s="29" t="n">
        <x:v>1887</x:v>
      </x:c>
      <x:c r="O79" s="29" t="n">
        <x:v>2168</x:v>
      </x:c>
      <x:c r="P79" s="31" t="n">
        <x:v>0.002971</x:v>
      </x:c>
      <x:c r="Q79" s="32" t="str">
        <x:v>### Understanding the Problem
We are given a directed, weighted graph with nodes and edges as described. Our goal is to find all distinct paths from the source node `S` to the target node `T` that have the minimum total weight. For each such path, we need to provide:
1. The sequence of nodes in the path.
2. The total weight of the path.
3. The number of edges in the path.
### Visualizing the Graph
First, let's try to visualize or understand the structure of the graph based on the given edges:
- **From S:**
  - S → A: weight 1
  - S → B: weight 1
- **From A:**
  - A → C: 2
  - A → D: 2
  - A → E: 2
  - A → F: 2
  - A → G: 3
  - A → H: 3
  - A → I: 3
  - A → J: 3
- **From B:**
  - B → C: 2
  - B → D: 2
  - B → E: 2
  - B → F: 2
  - B → G: 3
  - B → H: 3
  - B → I: 3
  - B → J: 3
- **To T:**
  - C → T: 3
  - D → T: 3
  - E → T: 3
  - F → T: 3
  - G → T: 3
  - H → T: 3
  - I → T: 3
  - J → T: 3
From this, we can see that:
- `S` connects to `A` and `B` with weight 1.
- `A` and `B` each connect to `C`, `D`, `E`, `F` with weight 2, and to `G`, `H`, `I`, `J` with weight 3.
- All of `C`, `D`, `E`, `F`, `G`, `H`, `I`, `J` connect to `T` with weight 3.
### Identifying Possible Paths
A path from `S` to `T` will generally look like:
1. S → (A or B) → (C, D, E, F, G, H, I, or J) → T
Given that, let's consider the two initial choices from `S`: going to `A` or `B`.
#### Paths via A:
- S → A → C → T
  - Weight: 1 (S→A) + 2 (A→C) + 3 (C→T) = 6
  - Edges: 3
- S → A → D → T
  - Weight: 1 + 2 + 3 = 6
  - Edges: 3
- S → A → E → T
  - Weight: 1 + 2 + 3 = 6
  - Edges: 3
- S → A → F → T
  - Weight: 1 + 2 + 3 = 6
  - Edges: 3
- S → A → G → T
  - Weight: 1 + 3 + 3 = 7
  - Edges: 3
- S → A → H → T
  - Weight: 1 + 3 + 3 = 7
  - Edges: 3
- S → A → I → T
  - Weight: 1 + 3 + 3 = 7
  - Edges: 3
- S → A → J → T
  - Weight: 1 + 3 + 3 = 7
  - Edges: 3
#### Paths via B:
Similarly, paths via `B` will mirror those via `A`:
- S → B → C → T
  - Weight: 1 + 2 + 3 = 6
  - Edges: 3
- S → B → D → T
  - Weight: 1 + 2 + 3 = 6
  - Edges: 3
- S → B → E → T
  - Weight: 1 + 2 + 3 = 6
  - Edges: 3
- S → B → F → T
  - Weight: 1 + 2 + 3 = 6
  - Edges: 3
- S → B → G → T
  - Weight: 1 + 3 + 3 = 7
  - Edges: 3
- S → B → H → T
  - Weight: 1 + 3 + 3 = 7
  - Edges: 3
- S → B → I → T
  - Weight: 1 + 3 + 3 = 7
  - Edges: 3
- S → B → J → T
  - Weight: 1 + 3 + 3 = 7
  - Edges: 3
### Determining Minimum Total Weight
From the above, the paths with the smallest total weight are those that go through `C`, `D`, `E`, or `F` after `A` or `B`, each with a total weight of 6. The paths through `G`, `H`, `I`, or `J` have a higher total weight of 7, so they are not minimum-weight paths.
### Listing All Minimum-Weight Paths
Thus, the minimum-weight paths are all paths of the form:
1. S → A → C → T
2. S → A → D → T
3. S → A → E → T
4. S → A → F → T
5. S → B → C → T
6. S → B → D → T
7. S → B → E → T
8. S → B → F → T
Each of these has:
- Total weight: 6
- Number of edges: 3
### Verifying No Other Paths Exist
Are there any other paths from `S` to `T` that we might have missed?
- The only edges from `S` are to `A` and `B`.
- From `A` and `B`, edges go to `C`, `D`, `E`, `F`, `G`, `H`, `I`, `J`.
- From these, edges go only to `T`.
Therefore, the only possible paths are those that go through one of `A` or `B`, then to one of `C`, `D`, `E`, `F`, `G`, `H`, `I`, `J`, and then to `T`. We've considered all these possibilities, and the ones with weight 6 are indeed the minimum.
### Final Answer
All distinct minimum-total-weight paths from `S` to `T` are as follows:
1. **Path:** S → A → C → T
   - Total weight: 6
   - Number of edges: 3
2. **Path:** S → A → D → T
   - Total weight: 6
   - Number of edges: 3
3. **Path:** S → A → E → T
   - Total weight: 6
   - Number of edges: 3
4. **Path:** S → A → F → T
   - Total weight: 6
   - Number of edges: 3
5. **Path:** S → B → C → T
   - Total weight: 6
   - Number of edges: 3
6. **Path:** S → B → D → T
   - Total weight: 6
   - Number of edges: 3
7. **Path:** S → B → E → T
   - Total weight: 6
   - Number of edges: 3
8. **Path:** S → B → F → T
   - Total weight: 6
   - Number of edges: 3
### Method Summary
1. **Identify all possible paths:** Enumerate all possible sequences of nodes from `S` to `T` by following the directed edges.
2. **Calculate path weights:** For each path, sum the weights of its edges to get the total weight.
3. **Determine minimum weight:** Identify the smallest total weight among all paths.
4. **List minimum-weight paths:** Collect all paths that achieve this minimum weight.
5. **Verify completeness:** Ensure no other paths exist that could have a smaller or equal weight.
This systematic approach ensures that all minimum-weight paths are found and verified.</x:v>
      </x:c>
    </x:row>
    <x:row r="80" ht="48" customHeight="1">
      <x:c r="A80" s="29" t="str">
        <x:v>mistral_H01</x:v>
      </x:c>
      <x:c r="B80" s="30" t="n">
        <x:v>46248.06180988426</x:v>
      </x:c>
      <x:c r="C80" s="29" t="str">
        <x:v>E/H search burden</x:v>
      </x:c>
      <x:c r="D80" s="29" t="str">
        <x:v>mistral</x:v>
      </x:c>
      <x:c r="E80" s="29" t="str">
        <x:v>H</x:v>
      </x:c>
      <x:c r="F80" s="29" t="n">
        <x:v>1</x:v>
      </x:c>
      <x:c r="G80" s="29" t="n">
        <x:v>200</x:v>
      </x:c>
      <x:c r="H80" s="29" t="str">
        <x:v>mistralai/mistral-large-2512</x:v>
      </x:c>
      <x:c r="I80" s="29" t="str">
        <x:v>mistral</x:v>
      </x:c>
      <x:c r="J80" s="29" t="str">
        <x:v>mistralai/mistral-large-2512</x:v>
      </x:c>
      <x:c r="K80" s="29" t="str">
        <x:v>Mistral</x:v>
      </x:c>
      <x:c r="L80" s="29" t="str">
        <x:v>gen-1786670913-C5FAq2E054NFiaYqlOL8</x:v>
      </x:c>
      <x:c r="M80" s="29" t="n">
        <x:v>309</x:v>
      </x:c>
      <x:c r="N80" s="29" t="n">
        <x:v>2332</x:v>
      </x:c>
      <x:c r="O80" s="29" t="n">
        <x:v>2641</x:v>
      </x:c>
      <x:c r="P80" s="31" t="n">
        <x:v>0.0036381</x:v>
      </x:c>
      <x:c r="Q80" s="32" t="str">
        <x:v>### Understanding the Graph Structure
First, let's visualize or understand the structure of the given directed, weighted graph. The graph has a start node `S` and an end node `T`. The edges and their weights are as follows:
1. Direct edges from `S` to some nodes with weight 1:
   - S → A: 1
   - S → B: 1
   - S → C: 1
   - S → D: 1
   - S → E: 1
   - S → F: 1
2. Direct edges from some nodes to `T` with weight 5:
   - A → T: 5
   - B → T: 5
   - C → T: 5
   - D → T: 5
   - K → T: 5
   - L → T: 5
   - M → T: 5
   - N → T: 5
3. Edges from `E` and `F` to `G` and `H` with weight 2:
   - E → G: 2
   - E → H: 2
   - F → G: 2
   - F → H: 2
4. Edges from `G` and `H` to `T` with weight 3:
   - G → T: 3
   - H → T: 3
5. Edges from `E` and `F` to `I` and `J` with weight 3:
   - E → I: 3
   - E → J: 3
   - F → I: 3
   - F → J: 3
6. Edges from `I` and `J` to `T` with weight 3:
   - I → T: 3
   - J → T: 3
7. Direct edges from `S` to some nodes with weight 2:
   - S → K: 2
   - S → L: 2
   - S → M: 2
   - S → N: 2
### Identifying Possible Paths from S to T
Our goal is to find all distinct paths from `S` to `T` with the minimum total weight. To do this, we'll explore all possible paths and calculate their total weights.
#### 1. Direct Paths via A, B, C, D
These are the simplest paths where `S` connects directly to a node, which then connects directly to `T`:
- S → A → T: 1 (S→A) + 5 (A→T) = 6
- S → B → T: 1 + 5 = 6
- S → C → T: 1 + 5 = 6
- S → D → T: 1 + 5 = 6
Number of edges: 2
Total weight: 6
#### 2. Paths via E and F to G and H
These paths go from `S` to `E` or `F`, then to `G` or `H`, and then to `T`:
- S → E → G → T: 1 (S→E) + 2 (E→G) + 3 (G→T) = 6
- S → E → H → T: 1 + 2 + 3 = 6
- S → F → G → T: 1 + 2 + 3 = 6
- S → F → H → T: 1 + 2 + 3 = 6
Number of edges: 3
Total weight: 6
#### 3. Paths via E and F to I and J
Similarly, paths from `S` to `E` or `F`, then to `I` or `J`, and then to `T`:
- S → E → I → T: 1 (S→E) + 3 (E→I) + 3 (I→T) = 7
- S → E → J → T: 1 + 3 + 3 = 7
- S → F → I → T: 1 + 3 + 3 = 7
- S → F → J → T: 1 + 3 + 3 = 7
Number of edges: 3
Total weight: 7
These paths have a total weight of 7, which is higher than the previous paths (weight 6), so they are not minimum-weight paths.
#### 4. Paths via K, L, M, N
These paths go from `S` directly to `K`, `L`, `M`, or `N`, and then to `T`:
- S → K → T: 2 (S→K) + 5 (K→T) = 7
- S → L → T: 2 + 5 = 7
- S → M → T: 2 + 5 = 7
- S → N → T: 2 + 5 = 7
Number of edges: 2
Total weight: 7
Again, these have a total weight of 7, which is higher than 6, so they are not minimum-weight paths.
### Verifying Minimum Weight
From the above, the paths with the smallest total weight are those with weight 6. These are:
1. Direct paths via A, B, C, D:
   - S → A → T
   - S → B → T
   - S → C → T
   - S → D → T
2. Paths via E or F to G or H:
   - S → E → G → T
   - S → E → H → T
   - S → F → G → T
   - S → F → H → T
All other paths have a higher total weight (7), so they are not minimum-weight paths.
### Counting Distinct Minimum-Weight Paths
Now, let's list all distinct minimum-weight paths:
1. S → A → T
   - Total weight: 6
   - Number of edges: 2
2. S → B → T
   - Total weight: 6
   - Number of edges: 2
3. S → C → T
   - Total weight: 6
   - Number of edges: 2
4. S → D → T
   - Total weight: 6
   - Number of edges: 2
5. S → E → G → T
   - Total weight: 6
   - Number of edges: 3
6. S → E → H → T
   - Total weight: 6
   - Number of edges: 3
7. S → F → G → T
   - Total weight: 6
   - Number of edges: 3
8. S → F → H → T
   - Total weight: 6
   - Number of edges: 3
Total distinct minimum-weight paths: 8
### Summary of Minimum-Weight Paths
Here's the complete list of all distinct minimum-total-weight paths from `S` to `T`:
1. **Path:** S → A → T
   - Total weight: 1 + 5 = 6
   - Number of edges: 2
2. **Path:** S → B → T
   - Total weight: 1 + 5 = 6
   - Number of edges: 2
3. **Path:** S → C → T
   - Total weight: 1 + 5 = 6
   - Number of edges: 2
4. **Path:** S → D → T
   - Total weight: 1 + 5 = 6
   - Number of edges: 2
5. **Path:** S → E → G → T
   - Total weight: 1 + 2 + 3 = 6
   - Number of edges: 3
6. **Path:** S → E → H → T
   - Total weight: 1 + 2 + 3 = 6
   - Number of edges: 3
7. **Path:** S → F → G → T
   - Total weight: 1 + 2 + 3 = 6
   - Number of edges: 3
8. **Path:** S → F → H → T
   - Total weight: 1 + 2 + 3 = 6
   - Number of edges: 3
### Verification of No Other Minimum-Weight Paths
To ensure that there are no other minimum-weight paths, let's consider if there are any other combinations:
- Any path that goes through `I` or `J` will have a total weight of at least 7 (as seen earlier), which is higher than 6.
- Any path that starts with `S → K`, `S → L`, `S → M`, or `S → N` will have a total weight of 7, which is higher than 6.
- There are no other edges from `S` or to `T` that could form a path with weight less than 6.
Thus, we've confirmed that the only minimum-weight paths are the eight listed above.
### Final Answer
All distinct minimum-total-weight paths from `S` to `T` are as follows:
1. **Path:** S → A → T
   - Total weight: 6
   - Number of edges: 2
2. **Path:** S → B → T
   - Total weight: 6
   - Number of edges: 2
3. **Path:** S → C → T
   - Total weight: 6
   - Number of edges: 2
4. **Path:** S → D → T
   - Total weight: 6
   - Number of edges: 2
5. **Path:** S → E → G → T
   - Total weight: 6
   - Number of edges: 3
6. **Path:** S → E → H → T
   - Total weight: 6
   - Number of edges: 3
7. **Path:** S → F → G → T
   - Total weight: 6
   - Number of edges: 3
8. **Path:** S → F → H → T
   - Total weight: 6
   - Number of edges: 3
**Method Explanation:**
The method involved systematically exploring all possible paths from `S` to `T` by following the directed edges and calculating the cumulative weight for each path. Paths were categorized based on their initial and intermediate nodes, and their total weights were compared to identify the minimum. Paths with weights higher than the smallest found (6) were discarded. This exhaustive approach ensures that all minimum-weight paths are identified.</x:v>
      </x:c>
    </x:row>
    <x:row r="81" ht="48" customHeight="1">
      <x:c r="A81" s="29" t="str">
        <x:v>mistral_H02</x:v>
      </x:c>
      <x:c r="B81" s="30" t="n">
        <x:v>46248.06213528935</x:v>
      </x:c>
      <x:c r="C81" s="29" t="str">
        <x:v>E/H search burden</x:v>
      </x:c>
      <x:c r="D81" s="29" t="str">
        <x:v>mistral</x:v>
      </x:c>
      <x:c r="E81" s="29" t="str">
        <x:v>H</x:v>
      </x:c>
      <x:c r="F81" s="29" t="n">
        <x:v>2</x:v>
      </x:c>
      <x:c r="G81" s="29" t="n">
        <x:v>200</x:v>
      </x:c>
      <x:c r="H81" s="29" t="str">
        <x:v>mistralai/mistral-large-2512</x:v>
      </x:c>
      <x:c r="I81" s="29" t="str">
        <x:v>mistral</x:v>
      </x:c>
      <x:c r="J81" s="29" t="str">
        <x:v>mistralai/mistral-large-2512</x:v>
      </x:c>
      <x:c r="K81" s="29" t="str">
        <x:v>Mistral</x:v>
      </x:c>
      <x:c r="L81" s="29" t="str">
        <x:v>gen-1786670941-sHLCR57iFVyhWDUUfVSb</x:v>
      </x:c>
      <x:c r="M81" s="29" t="n">
        <x:v>309</x:v>
      </x:c>
      <x:c r="N81" s="29" t="n">
        <x:v>2350</x:v>
      </x:c>
      <x:c r="O81" s="29" t="n">
        <x:v>2659</x:v>
      </x:c>
      <x:c r="P81" s="31" t="n">
        <x:v>0.0035499</x:v>
      </x:c>
      <x:c r="Q81" s="32" t="str">
        <x:v>### Understanding the Graph Structure
First, let's visualize or understand the structure of the given directed, weighted graph. The graph has a start node `S` and an end node `T`. The edges and their weights are as follows:
1. Direct edges from `S` to some nodes with weight 1:
   - S → A: 1
   - S → B: 1
   - S → C: 1
   - S → D: 1
   - S → E: 1
   - S → F: 1
2. Direct edges from `S` to some nodes with weight 2:
   - S → K: 2
   - S → L: 2
   - S → M: 2
   - S → N: 2
3. Edges from nodes A, B, C, D to T with weight 5:
   - A → T: 5
   - B → T: 5
   - C → T: 5
   - D → T: 5
4. Edges from E and F to G and H with weight 2:
   - E → G: 2
   - E → H: 2
   - F → G: 2
   - F → H: 2
5. Edges from G and H to T with weight 3:
   - G → T: 3
   - H → T: 3
6. Edges from E and F to I and J with weight 3:
   - E → I: 3
   - E → J: 3
   - F → I: 3
   - F → J: 3
7. Edges from I and J to T with weight 3:
   - I → T: 3
   - J → T: 3
8. Edges from K, L, M, N to T with weight 5:
   - K → T: 5
   - L → T: 5
   - M → T: 5
   - N → T: 5
### Identifying Possible Paths from S to T
Our goal is to find all distinct paths from `S` to `T` with the minimum total weight. To do this, we'll explore all possible paths and calculate their total weights.
#### Paths with Direct Edges from S to T?
First, check if there's a direct edge from `S` to `T`. From the given edges, there isn't one. So, all paths must go through at least one intermediate node.
#### Paths with One Intermediate Node
Let's consider paths that go from `S` to some node `X`, then directly to `T`.
1. S → A → T: weight = 1 (S→A) + 5 (A→T) = 6
2. S → B → T: weight = 1 + 5 = 6
3. S → C → T: weight = 1 + 5 = 6
4. S → D → T: weight = 1 + 5 = 6
5. S → K → T: weight = 2 + 5 = 7
6. S → L → T: weight = 2 + 5 = 7
7. S → M → T: weight = 2 + 5 = 7
8. S → N → T: weight = 2 + 5 = 7
These paths have weights ranging from 6 to 7.
#### Paths with Two Intermediate Nodes
Now, let's consider paths that go through two intermediate nodes before reaching `T`. These would involve nodes like E, F, G, H, I, J.
1. Paths via E or F to G or H to T:
   - S → E → G → T: weight = 1 (S→E) + 2 (E→G) + 3 (G→T) = 6
   - S → E → H → T: weight = 1 + 2 + 3 = 6
   - S → F → G → T: weight = 1 + 2 + 3 = 6
   - S → F → H → T: weight = 1 + 2 + 3 = 6
2. Paths via E or F to I or J to T:
   - S → E → I → T: weight = 1 (S→E) + 3 (E→I) + 3 (I→T) = 7
   - S → E → J → T: weight = 1 + 3 + 3 = 7
   - S → F → I → T: weight = 1 + 3 + 3 = 7
   - S → F → J → T: weight = 1 + 3 + 3 = 7
The paths via G or H have a total weight of 6, which is better than the paths via I or J (weight 7).
#### Paths with More Than Two Intermediate Nodes
Are there any paths with more than two intermediate nodes that could have a lower total weight? Let's think:
From the given edges, after reaching G, H, I, or J, the only outgoing edges are to `T`. Similarly, from E or F, the outgoing edges are to G, H, I, or J. So, there are no longer paths that could potentially have a lower weight than the ones we've already considered.
### Comparing All Paths
From the above, the paths and their weights are:
1. S → A → T: 6
2. S → B → T: 6
3. S → C → T: 6
4. S → D → T: 6
5. S → E → G → T: 6
6. S → E → H → T: 6
7. S → F → G → T: 6
8. S → F → H → T: 6
9. S → K → T: 7
10. S → L → T: 7
11. S → M → T: 7
12. S → N → T: 7
13. S → E → I → T: 7
14. S → E → J → T: 7
15. S → F → I → T: 7
16. S → F → J → T: 7
The minimum weight among these is 6. Therefore, all paths with a total weight of 6 are the minimum-weight paths.
### Listing All Minimum-Weight Paths
Now, let's list all distinct paths with a total weight of 6:
1. S → A → T
   - Node sequence: S, A, T
   - Total weight: 6
   - Number of edges: 2
2. S → B → T
   - Node sequence: S, B, T
   - Total weight: 6
   - Number of edges: 2
3. S → C → T
   - Node sequence: S, C, T
   - Total weight: 6
   - Number of edges: 2
4. S → D → T
   - Node sequence: S, D, T
   - Total weight: 6
   - Number of edges: 2
5. S → E → G → T
   - Node sequence: S, E, G, T
   - Total weight: 6
   - Number of edges: 3
6. S → E → H → T
   - Node sequence: S, E, H, T
   - Total weight: 6
   - Number of edges: 3
7. S → F → G → T
   - Node sequence: S, F, G, T
   - Total weight: 6
   - Number of edges: 3
8. S → F → H → T
   - Node sequence: S, F, H, T
   - Total weight: 6
   - Number of edges: 3
### Verifying No Other Minimum-Weight Paths Exist
Are there any other paths with a total weight of 6? Let's check:
- Any path starting with S → K, S → L, S → M, or S → N has a starting weight of 2, and the next edge to T is 5, totaling 7, which is more than 6.
- Paths via E or F to I or J to T have a total weight of 7, which is more than 6.
- There are no other edges from S or to T that could form a path with a total weight of 6.
Thus, we've identified all possible paths with the minimum total weight of 6.
### Final Answer
All distinct minimum-total-weight paths from `S` to `T` are as follows:
1. **Path:** S → A → T
   - Total weight: 6
   - Number of edges: 2
2. **Path:** S → B → T
   - Total weight: 6
   - Number of edges: 2
3. **Path:** S → C → T
   - Total weight: 6
   - Number of edges: 2
4. **Path:** S → D → T
   - Total weight: 6
   - Number of edges: 2
5. **Path:** S → E → G → T
   - Total weight: 6
   - Number of edges: 3
6. **Path:** S → E → H → T
   - Total weight: 6
   - Number of edges: 3
7. **Path:** S → F → G → T
   - Total weight: 6
   - Number of edges: 3
8. **Path:** S → F → H → T
   - Total weight: 6
   - Number of edges: 3
### Method Explanation
The method used to find all minimum-weight paths involved:
1. **Enumerating All Possible Paths:** Starting from `S`, we explored all possible outgoing edges and continued until we reached `T`, keeping track of the path and its cumulative weight.
2. **Calculating Path Weights:** For each path, we summed the weights of the edges traversed to get the total weight.
3. **Identifying Minimum Weight:** After listing all possible paths and their weights, we identified the smallest weight (which was 6 in this case).
4. **Listing All Paths with Minimum Weight:** We then listed all paths that achieved this minimum weight, ensuring no duplicates and that all were accounted for.
5. **Verification:** We double-checked to ensure no other paths could have a weight of 6 or less, confirming that our list was complete.
This exhaustive approach ensures that all minimum-weight paths are found and reported.</x:v>
      </x:c>
    </x:row>
    <x:row r="82" ht="48" customHeight="1">
      <x:c r="A82" s="29" t="str">
        <x:v>mistral_G02</x:v>
      </x:c>
      <x:c r="B82" s="30" t="n">
        <x:v>46248.06241597222</x:v>
      </x:c>
      <x:c r="C82" s="29" t="str">
        <x:v>E/H search burden</x:v>
      </x:c>
      <x:c r="D82" s="29" t="str">
        <x:v>mistral</x:v>
      </x:c>
      <x:c r="E82" s="29" t="str">
        <x:v>G</x:v>
      </x:c>
      <x:c r="F82" s="29" t="n">
        <x:v>2</x:v>
      </x:c>
      <x:c r="G82" s="29" t="n">
        <x:v>200</x:v>
      </x:c>
      <x:c r="H82" s="29" t="str">
        <x:v>mistralai/mistral-large-2512</x:v>
      </x:c>
      <x:c r="I82" s="29" t="str">
        <x:v>mistral</x:v>
      </x:c>
      <x:c r="J82" s="29" t="str">
        <x:v>mistralai/mistral-large-2512</x:v>
      </x:c>
      <x:c r="K82" s="29" t="str">
        <x:v>Mistral</x:v>
      </x:c>
      <x:c r="L82" s="29" t="str">
        <x:v>gen-1786670969-XiUAtVROII9mty96syiJ</x:v>
      </x:c>
      <x:c r="M82" s="29" t="n">
        <x:v>281</x:v>
      </x:c>
      <x:c r="N82" s="29" t="n">
        <x:v>1959</x:v>
      </x:c>
      <x:c r="O82" s="29" t="n">
        <x:v>2240</x:v>
      </x:c>
      <x:c r="P82" s="31" t="n">
        <x:v>0.003079</x:v>
      </x:c>
      <x:c r="Q82" s="32" t="str">
        <x:v>### Understanding the Problem
We are given a directed, weighted graph with nodes and edges as listed. Our goal is to find all distinct paths from the source node `S` to the target node `T` that have the minimum total weight. For each such path, we need to provide:
1. The sequence of nodes in the path.
2. The total weight of the path.
3. The number of edges in the path.
### Visualizing the Graph
First, let's try to visualize or understand the structure of the graph based on the given edges:
- **From S:**
  - `S → A: 1`
  - `S → B: 1`
- **From A:**
  - `A → C: 2`
  - `A → D: 2`
  - `A → E: 2`
  - `A → F: 2`
  - `A → G: 3`
  - `A → H: 3`
  - `A → I: 3`
  - `A → J: 3`
- **From B:**
  - `B → C: 2`
  - `B → D: 2`
  - `B → E: 2`
  - `B → F: 2`
  - `B → G: 3`
  - `B → H: 3`
  - `B → I: 3`
  - `B → J: 3`
- **To T:**
  - `C → T: 3`
  - `D → T: 3`
  - `E → T: 3`
  - `F → T: 3`
  - `G → T: 3`
  - `H → T: 3`
  - `I → T: 3`
  - `J → T: 3`
From this, we can see that:
- `S` connects to `A` and `B` with weight 1.
- `A` and `B` each connect to `C`, `D`, `E`, `F` with weight 2, and to `G`, `H`, `I`, `J` with weight 3.
- All nodes `C` through `J` connect to `T` with weight 3.
### Identifying Possible Paths
A path from `S` to `T` will have the following general structure:
1. `S → (A or B) → (C, D, E, F, G, H, I, or J) → T`
Given that, let's consider the possible intermediate nodes after `A` or `B`:
- **First hop:** `S` to `A` or `B` (weight 1)
- **Second hop:** From `A` or `B` to one of `C`, `D`, `E`, `F`, `G`, `H`, `I`, `J`
  - To `C`, `D`, `E`, `F`: weight 2
  - To `G`, `H`, `I`, `J`: weight 3
- **Third hop:** From the second hop node to `T` (weight 3)
### Calculating Path Weights
Let's calculate the total weight for paths going through `A` or `B` and then to `T` via different nodes.
1. **Via `A` or `B` to `C`, `D`, `E`, `F`:**
   - `S → A → C → T`: 1 (S→A) + 2 (A→C) + 3 (C→T) = 6
   - Similarly, `S → A → D → T`, `S → A → E → T`, `S → A → F → T` all have weight 6.
   - Same for `B`: `S → B → C → T`, etc., all have weight 6.
2. **Via `A` or `B` to `G`, `H`, `I`, `J`:**
   - `S → A → G → T`: 1 (S→A) + 3 (A→G) + 3 (G→T) = 7
   - Similarly, other paths via `G`, `H`, `I`, `J` have weight 7.
   - These are heavier than the paths via `C`, `D`, `E`, `F`, so they are not minimum.
### Verifying for Shorter Paths
Is there any path with fewer edges?
- The shortest possible path would have 2 edges (e.g., `S → X → T`), but there's no direct edge from `S` to any node that connects directly to `T` (the nodes that connect to `T` are `C` through `J`, and `S` doesn't connect directly to them).
- Therefore, all paths must have at least 3 edges (`S → A/B → X → T`).
### Counting Minimum-Weight Paths
From the above, the minimum weight is 6, achieved by paths that go:
- `S → A → (C, D, E, F) → T`
- `S → B → (C, D, E, F) → T`
This gives us:
- From `A`: 4 paths (`C`, `D`, `E`, `F`)
- From `B`: 4 paths (`C`, `D`, `E`, `F`)
- Total: 8 distinct paths with weight 6.
### Listing All Minimum-Weight Paths
Here are all the distinct minimum-weight paths:
1. `S → A → C → T`
   - Total weight: 1 + 2 + 3 = 6
   - Number of edges: 3
2. `S → A → D → T`
   - Total weight: 1 + 2 + 3 = 6
   - Number of edges: 3
3. `S → A → E → T`
   - Total weight: 1 + 2 + 3 = 6
   - Number of edges: 3
4. `S → A → F → T`
   - Total weight: 1 + 2 + 3 = 6
   - Number of edges: 3
5. `S → B → C → T`
   - Total weight: 1 + 2 + 3 = 6
   - Number of edges: 3
6. `S → B → D → T`
   - Total weight: 1 + 2 + 3 = 6
   - Number of edges: 3
7. `S → B → E → T`
   - Total weight: 1 + 2 + 3 = 6
   - Number of edges: 3
8. `S → B → F → T`
   - Total weight: 1 + 2 + 3 = 6
   - Number of edges: 3
### Verifying No Other Minimum Paths Exist
Are there any other paths with weight 6?
- Any path that goes through `G`, `H`, `I`, or `J` has a higher weight (7), as shown earlier.
- Any path that tries to go through more nodes would have more edges and thus higher weight (since all edge weights are positive).
- Therefore, no other paths have weight 6.
### Conclusion
All distinct minimum-total-weight paths from `S` to `T` are the 8 paths listed above, each with a total weight of 6 and consisting of 3 edges.
### Final Answer
All distinct minimum-total-weight paths from `S` to `T` are as follows:
1. **Path:** S → A → C → T
   - Total weight: 6
   - Number of edges: 3
2. **Path:** S → A → D → T
   - Total weight: 6
   - Number of edges: 3
3. **Path:** S → A → E → T
   - Total weight: 6
   - Number of edges: 3
4. **Path:** S → A → F → T
   - Total weight: 6
   - Number of edges: 3
5. **Path:** S → B → C → T
   - Total weight: 6
   - Number of edges: 3
6. **Path:** S → B → D → T
   - Total weight: 6
   - Number of edges: 3
7. **Path:** S → B → E → T
   - Total weight: 6
   - Number of edges: 3
8. **Path:** S → B → F → T
   - Total weight: 6
   - Number of edges: 3
**Method Summary:**
- Identified all possible paths from `S` to `T` by considering the graph's structure.
- Calculated the total weight for each path by summing the weights of the edges.
- Compared the weights to find the minimum (6 in this case).
- Verified that no other paths have this minimum weight.
- Listed all paths achieving this minimum weight.</x:v>
      </x:c>
    </x:row>
    <x:row r="83" ht="48" customHeight="1">
      <x:c r="A83" s="29" t="str">
        <x:v>mistral_F02</x:v>
      </x:c>
      <x:c r="B83" s="30" t="n">
        <x:v>46248.06270047454</x:v>
      </x:c>
      <x:c r="C83" s="29" t="str">
        <x:v>E/H search burden</x:v>
      </x:c>
      <x:c r="D83" s="29" t="str">
        <x:v>mistral</x:v>
      </x:c>
      <x:c r="E83" s="29" t="str">
        <x:v>F</x:v>
      </x:c>
      <x:c r="F83" s="29" t="n">
        <x:v>2</x:v>
      </x:c>
      <x:c r="G83" s="29" t="n">
        <x:v>200</x:v>
      </x:c>
      <x:c r="H83" s="29" t="str">
        <x:v>mistralai/mistral-large-2512</x:v>
      </x:c>
      <x:c r="I83" s="29" t="str">
        <x:v>mistral</x:v>
      </x:c>
      <x:c r="J83" s="29" t="str">
        <x:v>mistralai/mistral-large-2512</x:v>
      </x:c>
      <x:c r="K83" s="29" t="str">
        <x:v>Mistral</x:v>
      </x:c>
      <x:c r="L83" s="29" t="str">
        <x:v>gen-1786670993-KG31D7raqtsGesQcQqfa</x:v>
      </x:c>
      <x:c r="M83" s="29" t="n">
        <x:v>211</x:v>
      </x:c>
      <x:c r="N83" s="29" t="n">
        <x:v>2027</x:v>
      </x:c>
      <x:c r="O83" s="29" t="n">
        <x:v>2238</x:v>
      </x:c>
      <x:c r="P83" s="31" t="n">
        <x:v>0.0031316</x:v>
      </x:c>
      <x:c r="Q83" s="32" t="str">
        <x:v>### Understanding the Problem
We are given a directed, weighted graph with nodes and edges as listed. Our goal is to find all distinct paths from the starting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approach that keeps track of the shortest paths to each node. Here's the general approach:
1. **Initialize**: Start from node `S` with a total weight of 0.
2. **Explore Neighbors**: For each node, explore its neighbors and update the shortest known distance to those neighbors.
3. **Track Paths**: Along with the shortest distance, keep track of all paths that achieve this distance.
4. **Terminate at `T`**: Once we reach `T`, we can stop exploring further if we're only interested in the shortest paths (since any longer path would have a higher weight).
5. **Collect All Minimum Paths**: After processing all nodes, collect all paths that reach `T` with the minimum total weight.
Given the size of the graph, we can manually perform these steps to find all minimum paths.
### Step-by-Step Calculation
Let's list all edges for clarity:
- S → A: 1
- A → T: 5
- S → B: 1
- B → T: 5
- S → C: 1
- C → E: 2
- E → T: 3
- S → D: 1
- D → F: 2
- F → T: 3
- C → F: 3
- D → E: 3
- C → T: 6
- D → T: 6
- S → G: 2
- G → T: 5
**Initialization:**
- Distance to S: 0
- Paths to S: [S]
**Processing S:**
From S, we can go to A, B, C, D, G.
- S → A: weight = 1
  - Path: S → A, total weight = 1
- S → B: weight = 1
  - Path: S → B, total weight = 1
- S → C: weight = 1
  - Path: S → C, total weight = 1
- S → D: weight = 1
  - Path: S → D, total weight = 1
- S → G: weight = 2
  - Path: S → G, total weight = 2
**Processing A:**
From A, only edge is A → T: 5
- Path: S → A → T, total weight = 1 + 5 = 6
**Processing B:**
From B, only edge is B → T: 5
- Path: S → B → T, total weight = 1 + 5 = 6
**Processing C:**
From C, edges are:
- C → E: 2
  - Path: S → C → E, total weight = 1 + 2 = 3
- C → F: 3
  - Path: S → C → F, total weight = 1 + 3 = 4
- C → T: 6
  - Path: S → C → T, total weight = 1 + 6 = 7
**Processing D:**
From D, edges are:
- D → F: 2
  - Path: S → D → F, total weight = 1 + 2 = 3
- D → E: 3
  - Path: S → D → E, total weight = 1 + 3 = 4
- D → T: 6
  - Path: S → D → T, total weight = 1 + 6 = 7
**Processing G:**
From G, only edge is G → T: 5
- Path: S → G → T, total weight = 2 + 5 = 7
**Processing E:**
From E, only edge is E → T: 3
- Paths to E:
  - S → C → E: total weight = 3
    - New path: S → C → E → T, total weight = 3 + 3 = 6
  - S → D → E: total weight = 4
    - New path: S → D → E → T, total weight = 4 + 3 = 7
**Processing F:**
From F, only edge is F → T: 3
- Paths to F:
  - S → C → F: total weight = 4
    - New path: S → C → F → T, total weight = 4 + 3 = 7
  - S → D → F: total weight = 3
    - New path: S → D → F → T, total weight = 3 + 3 = 6
**Current Minimum Paths to T:**
- S → A → T: 6
- S → B → T: 6
- S → C → E → T: 6
- S → D → F → T: 6
- S → G → T: 7
- S → C → F → T: 7
- S → D → E → T: 7
- S → C → T: 7
- S → D → T: 7
The minimum total weight is 6, achieved by the following paths:
1. S → A → T
2. S → B → T
3. S → C → E → T
4. S → D → F → T
**Checking for Other Possible Paths:**
Are there any other paths with total weight 6?
Let's see if we can find any other combinations:
- S → C → ...: Only S → C → E → T gives 6.
- S → D → ...: Only S → D → F → T gives 6.
- S → A → T and S → B → T are already considered.
- S → G → T is 7, which is higher.
No other paths seem to achieve a total weight of 6.
### Verifying Paths with Weight 6
Let's list all paths with total weight 6:
1. **S → A → T**
   - Sequence: S, A, T
   - Total weight: 1 (S→A) + 5 (A→T) = 6
   - Number of edges: 2
2. **S → B → T**
   - Sequence: S, B, T
   - Total weight: 1 (S→B) + 5 (B→T) = 6
   - Number of edges: 2
3. **S → C → E → T**
   - Sequence: S, C, E, T
   - Total weight: 1 (S→C) + 2 (C→E) + 3 (E→T) = 6
   - Number of edges: 3
4. **S → D → F → T**
   - Sequence: S, D, F, T
   - Total weight: 1 (S→D) + 2 (D→F) + 3 (F→T) = 6
   - Number of edges: 3
No other paths have a total weight of 6.
### Final Answer
All distinct minimum-total-weight paths from `S` to `T` are as follows:
1. **Path 1:**
   - Node sequence: S → A → T
   - Total weight: 6
   - Number of edges: 2
2. **Path 2:**
   - Node sequence: S → B → T
   - Total weight: 6
   - Number of edges: 2
3. **Path 3:**
   - Node sequence: S → C → E → T
   - Total weight: 6
   - Number of edges: 3
4. **Path 4:**
   - Node sequence: S → D → F → T
   - Total weight: 6
   - Number of edges: 3
### Explanation of Method
The method used is a systematic exploration of all possible paths from `S` to `T` while keeping track of the cumulative weights. Here's a summary:
1. **Initialization**: Start at `S` with a weight of 0.
2. **Exploration**: For each node, explore all outgoing edges, updating the total weight to reach the neighboring nodes.
3. **Path Tracking**: For each node, keep track of all paths that reach it with the minimum weight found so far.
4. **Termination**: Once all nodes are processed, collect all paths that reach `T` with the minimum total weight.
5. **Verification**: Ensure no other paths exist with the same minimum weight by checking all possible combinations.
This approach ensures that all minimum-weight paths are found without missing any or including non-minimum ones. The manual exploration is feasible for small graphs like this one. For larger graphs, a more algorithmic approach like Dijkstra's with path tracking would be necessary.</x:v>
      </x:c>
    </x:row>
    <x:row r="84" ht="48" customHeight="1">
      <x:c r="A84" s="29" t="str">
        <x:v>mistral_E02</x:v>
      </x:c>
      <x:c r="B84" s="30" t="n">
        <x:v>46248.06297121528</x:v>
      </x:c>
      <x:c r="C84" s="29" t="str">
        <x:v>E/H search burden</x:v>
      </x:c>
      <x:c r="D84" s="29" t="str">
        <x:v>mistral</x:v>
      </x:c>
      <x:c r="E84" s="29" t="str">
        <x:v>E</x:v>
      </x:c>
      <x:c r="F84" s="29" t="n">
        <x:v>2</x:v>
      </x:c>
      <x:c r="G84" s="29" t="n">
        <x:v>200</x:v>
      </x:c>
      <x:c r="H84" s="29" t="str">
        <x:v>mistralai/mistral-large-2512</x:v>
      </x:c>
      <x:c r="I84" s="29" t="str">
        <x:v>mistral</x:v>
      </x:c>
      <x:c r="J84" s="29" t="str">
        <x:v>mistralai/mistral-large-2512</x:v>
      </x:c>
      <x:c r="K84" s="29" t="str">
        <x:v>Mistral</x:v>
      </x:c>
      <x:c r="L84" s="29" t="str">
        <x:v>gen-1786671018-PlgCYTyXx7yxlpLMVwBu</x:v>
      </x:c>
      <x:c r="M84" s="29" t="n">
        <x:v>218</x:v>
      </x:c>
      <x:c r="N84" s="29" t="n">
        <x:v>1780</x:v>
      </x:c>
      <x:c r="O84" s="29" t="n">
        <x:v>1998</x:v>
      </x:c>
      <x:c r="P84" s="31" t="n">
        <x:v>0.0027718</x:v>
      </x:c>
      <x:c r="Q84" s="32" t="str">
        <x:v>### Understanding the Problem
We are given a directed, weighted graph with nodes and edges as follows:
- **Nodes**: S, A, B, C, D, E, F, G, T
- **Edges and Weights**:
  - S → A: 1
  - S → B: 1
  - A → C: 2
  - A → D: 2
  - B → C: 2
  - B → D: 2
  - C → T: 3
  - D → T: 3
  - A → E: 3
  - A → F: 3
  - A → G: 3
  - B → E: 3
  - B → F: 3
  - B → G: 3
  - E → T: 3
  - F → T: 3
  - G → T: 3
Our goal is to find all distinct minimum-total-weight paths from the start node **S** to the target node **T**.
### Approach to Find Minimum-Weight Paths
To find all minimum-weight paths from S to T, we can use a **modified Dijkstra's algorithm** or perform a **breadth-first search (BFS) with priority** based on the total weight. Since the graph is small, we can also enumerate possible paths and compare their total weights.
Given that all edge weights are positive, Dijkstra's algorithm is suitable. However, since we need all minimum-weight paths (not just one), we'll keep track of all paths that achieve the minimum weight.
### Step-by-Step Calculation
Let's explore the graph level by level from S to T, keeping track of the cumulative weight at each step.
#### Level 0: Starting at S
- Current node: S
- Paths: [S]
- Total weight: 0
#### Level 1: From S
From S, we can go to A or B with weight 1.
- Paths:
  - [S, A], weight = 1
  - [S, B], weight = 1
#### Level 2: From A and B
From A:
- A → C: weight = 2 → total = 1 + 2 = 3
- A → D: weight = 2 → total = 1 + 2 = 3
- A → E: weight = 3 → total = 1 + 3 = 4
- A → F: weight = 3 → total = 1 + 3 = 4
- A → G: weight = 3 → total = 1 + 3 = 4
From B:
- B → C: weight = 2 → total = 1 + 2 = 3
- B → D: weight = 2 → total = 1 + 2 = 3
- B → E: weight = 3 → total = 1 + 3 = 4
- B → F: weight = 3 → total = 1 + 3 = 4
- B → G: weight = 3 → total = 1 + 3 = 4
At this level, the paths with the smallest total weight (3) are:
- [S, A, C]
- [S, A, D]
- [S, B, C]
- [S, B, D]
Paths with higher weights (4) are not minimal at this point, but we'll keep them in case they lead to minimal paths later.
#### Level 3: From C and D
From C:
- C → T: weight = 3 → total = 3 + 3 = 6
From D:
- D → T: weight = 3 → total = 3 + 3 = 6
So, the paths reaching T at this level are:
- [S, A, C, T], weight = 6
- [S, A, D, T], weight = 6
- [S, B, C, T], weight = 6
- [S, B, D, T], weight = 6
Now, let's check if there are other paths that reach T with a weight less than 6.
#### Checking Other Paths from Level 2
From Level 2, we also had paths with weight 4:
- [S, A, E], [S, A, F], [S, A, G]
- [S, B, E], [S, B, F], [S, B, G]
From these:
From E, F, G:
- E → T: weight = 3 → total = 4 + 3 = 7
- F → T: weight = 3 → total = 4 + 3 = 7
- G → T: weight = 3 → total = 4 + 3 = 7
These paths have a total weight of 7, which is greater than 6. Therefore, they are not minimal.
#### Verifying No Other Paths
Are there any other paths from S to T?
From S, the only outgoing edges are to A and B. From A and B, we've considered all outgoing edges. The only way to reach T is via C, D, E, F, or G, and we've checked all possibilities.
Thus, the minimal total weight is 6, achieved by the following paths:
1. S → A → C → T
2. S → A → D → T
3. S → B → C → T
4. S → B → D → T
### Listing All Minimum-Weight Paths
Here are all distinct minimum-total-weight paths from S to T:
1. **Path**: S → A → C → T
   - **Total weight**: 1 (S→A) + 2 (A→C) + 3 (C→T) = 6
   - **Number of edges**: 3
2. **Path**: S → A → D → T
   - **Total weight**: 1 (S→A) + 2 (A→D) + 3 (D→T) = 6
   - **Number of edges**: 3
3. **Path**: S → B → C → T
   - **Total weight**: 1 (S→B) + 2 (B→C) + 3 (C→T) = 6
   - **Number of edges**: 3
4. **Path**: S → B → D → T
   - **Total weight**: 1 (S→B) + 2 (B→D) + 3 (D→T) = 6
   - **Number of edges**: 3
### Verification
Let's verify that no other paths have a total weight less than 6:
- Any path that goes through E, F, or G from A or B will have a total weight of at least 7 (as shown above).
- There are no other edges from S except to A and B.
- From A and B, the edges to C and D are the only ones that lead to T with a total weight of 6.
Thus, the four paths listed above are indeed all the minimum-weight paths from S to T.
### Final Answer
All distinct minimum-total-weight paths from S to T are:
1. **Node sequence**: S → A → C → T
   - **Total weight**: 6
   - **Number of edges**: 3
2. **Node sequence**: S → A → D → T
   - **Total weight**: 6
   - **Number of edges**: 3
3. **Node sequence**: S → B → C → T
   - **Total weight**: 6
   - **Number of edges**: 3
4. **Node sequence**: S → B → D → T
   - **Total weight**: 6
   - **Number of edges**: 3
### Summary
By systematically exploring all possible paths from S to T and calculating their total weights, we identified that the minimum total weight is 6. This weight is achieved by four distinct paths, all of which pass through either A or B and then through C or D before reaching T. Paths that go through E, F, or G have a higher total weight and are therefore not minimal.</x:v>
      </x:c>
    </x:row>
    <x:row r="85" ht="48" customHeight="1">
      <x:c r="A85" s="29" t="str">
        <x:v>mistral_F03</x:v>
      </x:c>
      <x:c r="B85" s="30" t="n">
        <x:v>46248.063179108794</x:v>
      </x:c>
      <x:c r="C85" s="29" t="str">
        <x:v>E/H search burden</x:v>
      </x:c>
      <x:c r="D85" s="29" t="str">
        <x:v>mistral</x:v>
      </x:c>
      <x:c r="E85" s="29" t="str">
        <x:v>F</x:v>
      </x:c>
      <x:c r="F85" s="29" t="n">
        <x:v>3</x:v>
      </x:c>
      <x:c r="G85" s="29" t="n">
        <x:v>200</x:v>
      </x:c>
      <x:c r="H85" s="29" t="str">
        <x:v>mistralai/mistral-large-2512</x:v>
      </x:c>
      <x:c r="I85" s="29" t="str">
        <x:v>mistral</x:v>
      </x:c>
      <x:c r="J85" s="29" t="str">
        <x:v>mistralai/mistral-large-2512</x:v>
      </x:c>
      <x:c r="K85" s="29" t="str">
        <x:v>Mistral</x:v>
      </x:c>
      <x:c r="L85" s="29" t="str">
        <x:v>gen-1786671041-lzy1SZ47k0r5HYzeLHJp</x:v>
      </x:c>
      <x:c r="M85" s="29" t="n">
        <x:v>211</x:v>
      </x:c>
      <x:c r="N85" s="29" t="n">
        <x:v>1486</x:v>
      </x:c>
      <x:c r="O85" s="29" t="n">
        <x:v>1697</x:v>
      </x:c>
      <x:c r="P85" s="31" t="n">
        <x:v>0.0022481</x:v>
      </x:c>
      <x:c r="Q85" s="32" t="str">
        <x:v>### Understanding the Problem
We are given a directed, weighted graph with nodes and edges as follows:
- **Nodes**: S, A, B, C, D, E, F, G, T
- **Edges and Weights**:
  - S → A: 1
  - A → T: 5
  - S → B: 1
  - B → T: 5
  - S → C: 1
  - C → E: 2
  - E → T: 3
  - S → D: 1
  - D → F: 2
  - F → T: 3
  - C → F: 3
  - D → E: 3
  - C → T: 6
  - D → T: 6
  - S → G: 2
  - G → T: 5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with priority** that keeps track of all paths with the current minimum weight. Here's the general approach:
1. **Initialize**: Start from node S with a current weight of 0.
2. **Explore**: For each node, explore all outgoing edges, keeping track of the cumulative weight to reach the next node.
3. **Track Paths**: Maintain a list of paths and their total weights. When reaching T, record the path if its weight is equal to the current minimum weight found.
4. **Update Minimum**: If a path to T is found with a weight less than the current minimum, update the minimum and reset the list of minimum paths.
5. **Terminate**: Once all possible paths have been explored up to the current minimum weight, terminate and return all paths with the minimum weight.
Given the size of the graph, we can manually explore all possible paths from S to T, calculate their weights, and then identify the minimum ones.
### Enumerating All Paths from S to T
Let's list all possible paths from S to T and calculate their total weights.
1. **Path via A**:
   - S → A → T
   - Weight: 1 (S→A) + 5 (A→T) = 6
   - Number of edges: 2
2. **Path via B**:
   - S → B → T
   - Weight: 1 (S→B) + 5 (B→T) = 6
   - Number of edges: 2
3. **Path via C**:
   - **Option 1**: S → C → T
     - Weight: 1 (S→C) + 6 (C→T) = 7
     - Number of edges: 2
   - **Option 2**: S → C → E → T
     - Weight: 1 (S→C) + 2 (C→E) + 3 (E→T) = 6
     - Number of edges: 3
   - **Option 3**: S → C → F → T
     - Weight: 1 (S→C) + 3 (C→F) + 3 (F→T) = 7
     - Number of edges: 3
4. **Path via D**:
   - **Option 1**: S → D → T
     - Weight: 1 (S→D) + 6 (D→T) = 7
     - Number of edges: 2
   - **Option 2**: S → D → E → T
     - Weight: 1 (S→D) + 3 (D→E) + 3 (E→T) = 7
     - Number of edges: 3
   - **Option 3**: S → D → F → T
     - Weight: 1 (S→D) + 2 (D→F) + 3 (F→T) = 6
     - Number of edges: 3
5. **Path via G**:
   - S → G → T
   - Weight: 2 (S→G) + 5 (G→T) = 7
   - Number of edges: 2
### Identifying Minimum-Weight Paths
From the above, the paths and their weights are:
1. S → A → T: 6
2. S → B → T: 6
3. S → C → E → T: 6
4. S → D → F → T: 6
5. S → C → T: 7
6. S → C → F → T: 7
7. S → D → T: 7
8. S → D → E → T: 7
9. S → G → T: 7
The minimum weight among these is **6**. Therefore, the minimum-weight paths are:
1. S → A → T
2. S → B → T
3. S → C → E → T
4. S → D → F → T
### Verifying No Other Paths Exist
Let's ensure we haven't missed any paths:
- From S, edges go to A, B, C, D, G.
  - A and B only go to T.
  - C goes to E, F, T.
    - E goes to T.
    - F goes to T.
  - D goes to E, F, T.
    - E goes to T.
    - F goes to T.
  - G goes to T.
All possible paths have been considered.
### Final Answer
All distinct minimum-total-weight paths from S to T are:
1. **Path**: S → A → T
   - **Total Weight**: 1 + 5 = 6
   - **Number of Edges**: 2
2. **Path**: S → B → T
   - **Total Weight**: 1 + 5 = 6
   - **Number of Edges**: 2
3. **Path**: S → C → E → T
   - **Total Weight**: 1 + 2 + 3 = 6
   - **Number of Edges**: 3
4. **Path**: S → D → F → T
   - **Total Weight**: 1 + 2 + 3 = 6
   - **Number of Edges**: 3
These are all the paths with the minimum total weight of **6**. No other paths from S to T have a total weight less than 6.</x:v>
      </x:c>
    </x:row>
    <x:row r="86" ht="48" customHeight="1">
      <x:c r="A86" s="29" t="str">
        <x:v>mistral_H03</x:v>
      </x:c>
      <x:c r="B86" s="30" t="n">
        <x:v>46248.06348246528</x:v>
      </x:c>
      <x:c r="C86" s="29" t="str">
        <x:v>E/H search burden</x:v>
      </x:c>
      <x:c r="D86" s="29" t="str">
        <x:v>mistral</x:v>
      </x:c>
      <x:c r="E86" s="29" t="str">
        <x:v>H</x:v>
      </x:c>
      <x:c r="F86" s="29" t="n">
        <x:v>3</x:v>
      </x:c>
      <x:c r="G86" s="29" t="n">
        <x:v>200</x:v>
      </x:c>
      <x:c r="H86" s="29" t="str">
        <x:v>mistralai/mistral-large-2512</x:v>
      </x:c>
      <x:c r="I86" s="29" t="str">
        <x:v>mistral</x:v>
      </x:c>
      <x:c r="J86" s="29" t="str">
        <x:v>mistralai/mistral-large-2512</x:v>
      </x:c>
      <x:c r="K86" s="29" t="str">
        <x:v>Mistral</x:v>
      </x:c>
      <x:c r="L86" s="29" t="str">
        <x:v>gen-1786671059-WRZ7vBBfl8TiODmZOhym</x:v>
      </x:c>
      <x:c r="M86" s="29" t="n">
        <x:v>309</x:v>
      </x:c>
      <x:c r="N86" s="29" t="n">
        <x:v>2129</x:v>
      </x:c>
      <x:c r="O86" s="29" t="n">
        <x:v>2438</x:v>
      </x:c>
      <x:c r="P86" s="31" t="n">
        <x:v>0.003348</x:v>
      </x:c>
      <x:c r="Q86" s="32" t="str">
        <x:v>### Understanding the Problem
We are given a directed, weighted graph with nodes and edges as listed.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approach that keeps track of the shortest paths. Here's the general approach:
1. **Initialize**: Start from node `S` with a total weight of 0.
2. **Explore**: For each node, explore all outgoing edges, keeping track of the cumulative weight to reach the next node.
3. **Track Paths**: For each node, store not just the minimum weight to reach it, but also all paths that achieve this minimum weight.
4. **Terminate**: When we reach `T`, we record the path if its total weight is equal to the minimum weight found so far.
5. **Avoid Revisiting**: Ensure that we do not revisit nodes in a way that could lead to cycles (though in this graph, cycles don't seem possible based on the given edges).
Given the structure of the graph, it seems that paths can be categorized based on the initial steps from `S` and then how they proceed to `T`.
### Analyzing the Graph Structure
Let's categorize the edges from `S`:
1. **Direct to T via single nodes**: `S → A → T`, `S → B → T`, `S → C → T`, `S → D → T`. Each of these has a total weight of `1 + 5 = 6` and 2 edges.
2. **Via E or F**:
   - `S → E → G → T`: `1 + 2 + 3 = 6`, 3 edges.
   - `S → E → H → T`: `1 + 2 + 3 = 6`, 3 edges.
   - `S → F → G → T`: `1 + 2 + 3 = 6`, 3 edges.
   - `S → F → H → T`: `1 + 2 + 3 = 6`, 3 edges.
   - `S → E → I → T`: `1 + 3 + 3 = 7`, 3 edges.
   - `S → E → J → T`: `1 + 3 + 3 = 7`, 3 edges.
   - `S → F → I → T`: `1 + 3 + 3 = 7`, 3 edges.
   - `S → F → J → T`: `1 + 3 + 3 = 7`, 3 edges.
   - The paths via `I` and `J` have a higher total weight (7), so they are not minimum.
3. **Via K, L, M, N**: `S → K → T`, `S → L → T`, `S → M → T`, `S → N → T`. Each has `2 + 5 = 7`, which is higher than 6, so these are not minimum.
From this initial analysis, the minimum total weight seems to be `6`. Now, let's enumerate all paths that achieve this weight.
### Enumerating Minimum-Weight Paths
**Paths with 2 edges (total weight = 6):**
1. `S → A → T`: weight = 1 + 5 = 6, edges = 2.
2. `S → B → T`: weight = 1 + 5 = 6, edges = 2.
3. `S → C → T`: weight = 1 + 5 = 6, edges = 2.
4. `S → D → T`: weight = 1 + 5 = 6, edges = 2.
**Paths with 3 edges (total weight = 6):**
From `S → E` or `S → F`, then to `G` or `H`, then to `T`:
1. `S → E → G → T`: weight = 1 + 2 + 3 = 6, edges = 3.
2. `S → E → H → T`: weight = 1 + 2 + 3 = 6, edges = 3.
3. `S → F → G → T`: weight = 1 + 2 + 3 = 6, edges = 3.
4. `S → F → H → T`: weight = 1 + 2 + 3 = 6, edges = 3.
Other paths via `E` or `F` to `I` or `J` have higher weights (7), so they are excluded.
**Paths via K, L, M, N:**
These have a total weight of 7, which is higher than 6, so they are not minimum.
### Verifying No Other Minimum Paths Exist
Are there any other paths with total weight 6?
- Any path that starts with `S → E` or `S → F` and then goes to `I` or `J` has weight 7, which is higher.
- Any path that starts with `S → K`, `S → L`, `S → M`, or `S → N` has weight 7.
- There are no other edges from `S` besides the ones listed.
- The only other nodes are `A`, `B`, `C`, `D`, `E`, `F`, `G`, `H`, `I`, `J`, `K`, `L`, `M`, `N`, and `T`, and their outgoing edges are already considered.
Thus, the only paths with total weight 6 are the eight listed above.
### Listing All Minimum-Weight Paths
Here are all distinct minimum-total-weight paths from `S` to `T`:
1. **Path**: S → A → T
   - Total weight: 6
   - Number of edges: 2
2. **Path**: S → B → T
   - Total weight: 6
   - Number of edges: 2
3. **Path**: S → C → T
   - Total weight: 6
   - Number of edges: 2
4. **Path**: S → D → T
   - Total weight: 6
   - Number of edges: 2
5. **Path**: S → E → G → T
   - Total weight: 6
   - Number of edges: 3
6. **Path**: S → E → H → T
   - Total weight: 6
   - Number of edges: 3
7. **Path**: S → F → G → T
   - Total weight: 6
   - Number of edges: 3
8. **Path**: S → F → H → T
   - Total weight: 6
   - Number of edges: 3
### Summary of Method
1. **Initialization**: Start at `S` with weight 0.
2. **Exploration**:
   - From `S`, explore all outgoing edges, calculating the cumulative weight to reach each neighbor.
   - For each neighbor, continue exploring their outgoing edges, keeping track of the path and total weight.
3. **Tracking Minimum Paths**:
   - For each node, if the current path's total weight is less than the known minimum to reach `T`, update the minimum.
   - If the current path's total weight equals the known minimum, add it to the list of minimum paths.
4. **Termination**: Once all paths are explored, collect all paths that reach `T` with the minimum total weight.
### Verification
Let's verify that no path has a total weight less than 6:
- The smallest edge weight from `S` is 1 (to `A`, `B`, `C`, `D`, `E`, `F`).
- From these, the smallest edge to `T` is 5 (from `A`, `B`, `C`, `D`), making the total 6.
- From `E` or `F`, the smallest next edge is 2 (to `G` or `H`), then 3 to `T`, totaling 6.
- Any other path has higher weights (e.g., via `I` or `J` is 7, via `K`, `L`, `M`, `N` is 7).
Thus, 6 is indeed the minimum total weight.
### Final Answer
All distinct minimum-total-weight paths from `S` to `T` are as follows:
1. **Path**: S → A → T
   - Total weight: 6
   - Number of edges: 2
2. **Path**: S → B → T
   - Total weight: 6
   - Number of edges: 2
3. **Path**: S → C → T
   - Total weight: 6
   - Number of edges: 2
4. **Path**: S → D → T
   - Total weight: 6
   - Number of edges: 2
5. **Path**: S → E → G → T
   - Total weight: 6
   - Number of edges: 3
6. **Path**: S → E → H → T
   - Total weight: 6
   - Number of edges: 3
7. **Path**: S → F → G → T
   - Total weight: 6
   - Number of edges: 3
8. **Path**: S → F → H → T
   - Total weight: 6
   - Number of edges: 3
These are all the paths with the minimum total weight of 6 from `S` to `T`.</x:v>
      </x:c>
    </x:row>
    <x:row r="87" ht="48" customHeight="1">
      <x:c r="A87" s="29" t="str">
        <x:v>mistral_E03</x:v>
      </x:c>
      <x:c r="B87" s="30" t="n">
        <x:v>46248.06372144676</x:v>
      </x:c>
      <x:c r="C87" s="29" t="str">
        <x:v>E/H search burden</x:v>
      </x:c>
      <x:c r="D87" s="29" t="str">
        <x:v>mistral</x:v>
      </x:c>
      <x:c r="E87" s="29" t="str">
        <x:v>E</x:v>
      </x:c>
      <x:c r="F87" s="29" t="n">
        <x:v>3</x:v>
      </x:c>
      <x:c r="G87" s="29" t="n">
        <x:v>200</x:v>
      </x:c>
      <x:c r="H87" s="29" t="str">
        <x:v>mistralai/mistral-large-2512</x:v>
      </x:c>
      <x:c r="I87" s="29" t="str">
        <x:v>mistral</x:v>
      </x:c>
      <x:c r="J87" s="29" t="str">
        <x:v>mistralai/mistral-large-2512</x:v>
      </x:c>
      <x:c r="K87" s="29" t="str">
        <x:v>Mistral</x:v>
      </x:c>
      <x:c r="L87" s="29" t="str">
        <x:v>gen-1786671086-QnqjJPhtY4tDnNlYc9GH</x:v>
      </x:c>
      <x:c r="M87" s="29" t="n">
        <x:v>218</x:v>
      </x:c>
      <x:c r="N87" s="29" t="n">
        <x:v>1604</x:v>
      </x:c>
      <x:c r="O87" s="29" t="n">
        <x:v>1822</x:v>
      </x:c>
      <x:c r="P87" s="31" t="n">
        <x:v>0.002515</x:v>
      </x:c>
      <x:c r="Q87" s="32" t="str">
        <x:v>### Understanding the Problem
We are given a directed, weighted graph with nodes and edges as follows:
- **Nodes**: S, A, B, C, D, E, F, G, T
- **Edges and Weights**:
  - S → A: 1
  - S → B: 1
  - A → C: 2
  - A → D: 2
  - B → C: 2
  - B → D: 2
  - C → T: 3
  - D → T: 3
  - A → E: 3
  - A → F: 3
  - A → G: 3
  - B → E: 3
  - B → F: 3
  - B → G: 3
  - E → T: 3
  - F → T: 3
  - G → T: 3
Our goal is to find all distinct paths from the start node **S** to the target node **T** that have the minimum total weight. For each such path, we need to provide:
1. The sequence of nodes in the path.
2. The total weight of the path.
3. The number of edges in the path.
### Approach to Solve the Problem
To find all minimum-weight paths from S to T, we can use a modified Dijkstra's algorithm or a breadth-first search (BFS) approach that keeps track of the shortest paths to each node. Here's the general approach:
1. **Initialize**: Start from node S with a total weight of 0.
2. **Explore**: For each node, explore all outgoing edges, keeping track of the cumulative weight to reach the next node.
3. **Track Paths**: For each node, store all paths that reach it with the minimum weight found so far.
4. **Terminate**: When we reach node T, we record all paths that have the minimum weight at that point.
5. **Backtrack**: Once all possible paths are explored, collect all paths to T that have the minimum total weight.
Given the structure of the graph, it's clear that all paths from S to T will have a similar structure with slight variations in the middle nodes. The main decision points are:
- From S, we can go to A or B (both with weight 1).
- From A or B, we can go to C, D, E, F, or G.
- From C or D, we can go directly to T.
- From E, F, or G, we can also go directly to T.
### Calculating Path Weights
Let's enumerate possible paths and calculate their total weights:
1. **Path via A and C**:
   - S → A → C → T
   - Weights: 1 (S→A) + 2 (A→C) + 3 (C→T) = 6
   - Number of edges: 3
2. **Path via A and D**:
   - S → A → D → T
   - Weights: 1 + 2 + 3 = 6
   - Number of edges: 3
3. **Path via B and C**:
   - S → B → C → T
   - Weights: 1 + 2 + 3 = 6
   - Number of edges: 3
4. **Path via B and D**:
   - S → B → D → T
   - Weights: 1 + 2 + 3 = 6
   - Number of edges: 3
5. **Path via A and E**:
   - S → A → E → T
   - Weights: 1 + 3 + 3 = 7
   - Number of edges: 3
6. **Path via A and F**:
   - S → A → F → T
   - Weights: 1 + 3 + 3 = 7
   - Number of edges: 3
7. **Path via A and G**:
   - S → A → G → T
   - Weights: 1 + 3 + 3 = 7
   - Number of edges: 3
8. **Path via B and E**:
   - S → B → E → T
   - Weights: 1 + 3 + 3 = 7
   - Number of edges: 3
9. **Path via B and F**:
   - S → B → F → T
   - Weights: 1 + 3 + 3 = 7
   - Number of edges: 3
10. **Path via B and G**:
    - S → B → G → T
    - Weights: 1 + 3 + 3 = 7
    - Number of edges: 3
From the above, the paths with the minimum total weight of 6 are:
- S → A → C → T
- S → A → D → T
- S → B → C → T
- S → B → D → T
The other paths have a total weight of 7, which is higher than 6, so they are not minimum-weight paths.
### Verifying No Other Paths Exist
Are there any other paths from S to T? Let's consider:
- **Longer Paths**: Any path that goes through more nodes would have more edges and likely a higher total weight. For example:
  - S → A → C → (no outgoing edges from C except to T)
  - S → A → E → (no other edges from E except to T)
  - Similarly for other nodes, there are no cycles or longer paths that would lead to a lower total weight.
- **Alternative Paths**: The only alternatives are the ones already considered, as the graph is structured such that from A or B, you can only go to C, D, E, F, or G, and from there directly to T.
Thus, we've covered all possible paths from S to T.
### Listing All Minimum-Weight Paths
Here are all distinct minimum-total-weight paths from S to T:
1. **Path 1**:
   - Node sequence: S → A → C → T
   - Total weight: 1 + 2 + 3 = 6
   - Number of edges: 3
2. **Path 2**:
   - Node sequence: S → A → D → T
   - Total weight: 1 + 2 + 3 = 6
   - Number of edges: 3
3. **Path 3**:
   - Node sequence: S → B → C → T
   - Total weight: 1 + 2 + 3 = 6
   - Number of edges: 3
4. **Path 4**:
   - Node sequence: S → B → D → T
   - Total weight: 1 + 2 + 3 = 6
   - Number of edges: 3
### Conclusion
After systematically exploring all possible paths from S to T and calculating their total weights, we've identified that there are exactly four distinct paths with the minimum total weight of 6. These paths are:
1. S → A → C → T
2. S → A → D → T
3. S → B → C → T
4. S → B → D → T
Each of these paths has a total weight of 6 and consists of 3 edges. No other paths from S to T have a lower total weight.</x:v>
      </x:c>
    </x:row>
    <x:row r="88" ht="48" customHeight="1">
      <x:c r="A88" s="29" t="str">
        <x:v>mistral_G03</x:v>
      </x:c>
      <x:c r="B88" s="30" t="n">
        <x:v>46248.0640133912</x:v>
      </x:c>
      <x:c r="C88" s="29" t="str">
        <x:v>E/H search burden</x:v>
      </x:c>
      <x:c r="D88" s="29" t="str">
        <x:v>mistral</x:v>
      </x:c>
      <x:c r="E88" s="29" t="str">
        <x:v>G</x:v>
      </x:c>
      <x:c r="F88" s="29" t="n">
        <x:v>3</x:v>
      </x:c>
      <x:c r="G88" s="29" t="n">
        <x:v>200</x:v>
      </x:c>
      <x:c r="H88" s="29" t="str">
        <x:v>mistralai/mistral-large-2512</x:v>
      </x:c>
      <x:c r="I88" s="29" t="str">
        <x:v>mistral</x:v>
      </x:c>
      <x:c r="J88" s="29" t="str">
        <x:v>mistralai/mistral-large-2512</x:v>
      </x:c>
      <x:c r="K88" s="29" t="str">
        <x:v>Mistral</x:v>
      </x:c>
      <x:c r="L88" s="29" t="str">
        <x:v>gen-1786671106-HonbFPF41QOuuh0SuSuG</x:v>
      </x:c>
      <x:c r="M88" s="29" t="n">
        <x:v>281</x:v>
      </x:c>
      <x:c r="N88" s="29" t="n">
        <x:v>2065</x:v>
      </x:c>
      <x:c r="O88" s="29" t="n">
        <x:v>2346</x:v>
      </x:c>
      <x:c r="P88" s="31" t="n">
        <x:v>0.003238</x:v>
      </x:c>
      <x:c r="Q88" s="32" t="str">
        <x:v>### Understanding the Problem
We are given a directed, weighted graph with nodes and edges as described. Our goal is to find all distinct paths from the source node `S` to the target node `T` that have the minimum total weight. For each such path, we need to provide:
1. The sequence of nodes in the path.
2. The total weight of the path.
3. The number of edges in the path.
### Visualizing the Graph
First, let's try to visualize or understand the structure of the graph based on the given edges:
- **From S:**
  - S → A: weight 1
  - S → B: weight 1
- **From A:**
  - A → C: 2
  - A → D: 2
  - A → E: 2
  - A → F: 2
  - A → G: 3
  - A → H: 3
  - A → I: 3
  - A → J: 3
- **From B:**
  - B → C: 2
  - B → D: 2
  - B → E: 2
  - B → F: 2
  - B → G: 3
  - B → H: 3
  - B → I: 3
  - B → J: 3
- **To T:**
  - C → T: 3
  - D → T: 3
  - E → T: 3
  - F → T: 3
  - G → T: 3
  - H → T: 3
  - I → T: 3
  - J → T: 3
From this, we can see that:
- `S` connects to `A` and `B` with weight 1.
- `A` and `B` each connect to `C`, `D`, `E`, `F` with weight 2, and to `G`, `H`, `I`, `J` with weight 3.
- All nodes `C` through `J` connect to `T` with weight 3.
### Identifying Possible Paths
A path from `S` to `T` will generally look like:
1. S → (A or B) → (C, D, E, F, G, H, I, or J) → T
Given that, let's calculate the total weights for paths going through `A` or `B` and then to `T` via different intermediate nodes.
#### Paths via A:
- S → A → C → T:
  - Weight: 1 (S→A) + 2 (A→C) + 3 (C→T) = 6
  - Edges: 3
- S → A → D → T:
  - Weight: 1 + 2 + 3 = 6
  - Edges: 3
- S → A → E → T:
  - Weight: 1 + 2 + 3 = 6
  - Edges: 3
- S → A → F → T:
  - Weight: 1 + 2 + 3 = 6
  - Edges: 3
- S → A → G → T:
  - Weight: 1 + 3 + 3 = 7
  - Edges: 3
- S → A → H → T:
  - Weight: 1 + 3 + 3 = 7
  - Edges: 3
- S → A → I → T:
  - Weight: 1 + 3 + 3 = 7
  - Edges: 3
- S → A → J → T:
  - Weight: 1 + 3 + 3 = 7
  - Edges: 3
#### Paths via B:
Similarly, paths via `B` will mirror those via `A`:
- S → B → C → T:
  - Weight: 1 + 2 + 3 = 6
  - Edges: 3
- S → B → D → T:
  - Weight: 1 + 2 + 3 = 6
  - Edges: 3
- S → B → E → T:
  - Weight: 1 + 2 + 3 = 6
  - Edges: 3
- S → B → F → T:
  - Weight: 1 + 2 + 3 = 6
  - Edges: 3
- S → B → G → T:
  - Weight: 1 + 3 + 3 = 7
  - Edges: 3
- S → B → H → T:
  - Weight: 1 + 3 + 3 = 7
  - Edges: 3
- S → B → I → T:
  - Weight: 1 + 3 + 3 = 7
  - Edges: 3
- S → B → J → T:
  - Weight: 1 + 3 + 3 = 7
  - Edges: 3
### Determining Minimum Weight Paths
From the above calculations, the paths with the smallest total weight are those that go through `C`, `D`, `E`, or `F` after `A` or `B`, with a total weight of 6. Paths going through `G`, `H`, `I`, or `J` have a higher total weight of 7.
Therefore, the minimum total weight is **6**, and the paths achieving this are:
1. S → A → C → T
2. S → A → D → T
3. S → A → E → T
4. S → A → F → T
5. S → B → C → T
6. S → B → D → T
7. S → B → E → T
8. S → B → F → T
Each of these paths has:
- Total weight: 6
- Number of edges: 3
### Verifying No Other Paths Exist
Are there any other paths from `S` to `T` that we might have missed?
- The only way out of `S` is to `A` or `B`.
- From `A` or `B`, the only way to `T` is through `C`, `D`, `E`, `F`, `G`, `H`, `I`, or `J`.
- We've considered all these possibilities, and no other edges exist in the graph.
Thus, we've accounted for all possible paths from `S` to `T`.
### Checking for Shorter Paths
Could there be paths with fewer edges (i.e., 2 edges)?
A path with 2 edges would be of the form S → X → T, where X is a node directly connected to both `S` and `T`.
- `S` connects to `A` and `B`.
- `A` and `B` do not connect directly to `T`; they connect to other nodes which then connect to `T`.
- Therefore, no path with 2 edges exists.
Could there be paths with more edges (i.e., 4 or more edges)?
While longer paths might exist (e.g., S → A → C → some node → T), they would necessarily have a higher total weight because all edges have positive weights, and adding more edges would only increase the total weight. Since we've found paths with weight 6, any longer path would have a weight of at least 6 + some positive number, which is greater than 6.
Thus, the minimum weight paths are indeed those with 3 edges and total weight 6.
### Final Answer
All distinct minimum-total-weight paths from `S` to `T` are as follows:
1. **Path:** S → A → C → T
   - Total weight: 6
   - Number of edges: 3
2. **Path:** S → A → D → T
   - Total weight: 6
   - Number of edges: 3
3. **Path:** S → A → E → T
   - Total weight: 6
   - Number of edges: 3
4. **Path:** S → A → F → T
   - Total weight: 6
   - Number of edges: 3
5. **Path:** S → B → C → T
   - Total weight: 6
   - Number of edges: 3
6. **Path:** S → B → D → T
   - Total weight: 6
   - Number of edges: 3
7. **Path:** S → B → E → T
   - Total weight: 6
   - Number of edges: 3
8. **Path:** S → B → F → T
   - Total weight: 6
   - Number of edges: 3
### Method Summary
1. **Identify all possible paths:** Enumerate all possible sequences of nodes from `S` to `T` by following the directed edges.
2. **Calculate path weights:** For each path, sum the weights of its edges to get the total weight.
3. **Determine minimum weight:** Identify the smallest total weight among all paths.
4. **Collect all minimum paths:** Gather all paths that achieve this minimum weight.
5. **Verify completeness:** Ensure no other paths exist that could have a smaller weight or that we haven't missed any paths.
This systematic approach ensures that we've found all distinct minimum-weight paths from `S` to `T`.</x:v>
      </x:c>
    </x:row>
    <x:row r="89" ht="48" customHeight="1">
      <x:c r="A89" s="29" t="str">
        <x:v>deepseek_E01</x:v>
      </x:c>
      <x:c r="B89" s="30" t="n">
        <x:v>46248.06483431713</x:v>
      </x:c>
      <x:c r="C89" s="29" t="str">
        <x:v>E/H search burden</x:v>
      </x:c>
      <x:c r="D89" s="29" t="str">
        <x:v>deepseek</x:v>
      </x:c>
      <x:c r="E89" s="29" t="str">
        <x:v>E</x:v>
      </x:c>
      <x:c r="F89" s="29" t="n">
        <x:v>1</x:v>
      </x:c>
      <x:c r="G89" s="29" t="n">
        <x:v>200</x:v>
      </x:c>
      <x:c r="H89" s="29" t="str">
        <x:v>deepseek/deepseek-v3.2-exp</x:v>
      </x:c>
      <x:c r="I89" s="29" t="str">
        <x:v>siliconflow</x:v>
      </x:c>
      <x:c r="J89" s="29" t="str">
        <x:v>deepseek/deepseek-v3.2-exp</x:v>
      </x:c>
      <x:c r="K89" s="29" t="str">
        <x:v>SiliconFlow</x:v>
      </x:c>
      <x:c r="L89" s="29" t="str">
        <x:v>gen-1786671131-zE7u8zpt25bSvPiix3cN</x:v>
      </x:c>
      <x:c r="M89" s="29" t="n">
        <x:v>201</x:v>
      </x:c>
      <x:c r="N89" s="29" t="n">
        <x:v>1435</x:v>
      </x:c>
      <x:c r="O89" s="29" t="n">
        <x:v>1636</x:v>
      </x:c>
      <x:c r="P89" s="31" t="n">
        <x:v>0.00064262</x:v>
      </x:c>
      <x:c r="Q89" s="32" t="str">
        <x:v>Alright, let's go step-by-step.
---
## **Step 1: Understand the graph structure**
We have a directed graph with nodes:
\[
S, A, B, C, D, E, F, G, T
\]
Edges with weights:
1. \( S \to A \) : 1  
2. \( S \to B \) : 1  
3. \( A \to C \) : 2  
4. \( A \to D \) : 2  
5. \( B \to C \) : 2  
6. \( B \to D \) : 2  
7. \( C \to T \) : 3  
8. \( D \to T \) : 3  
9. \( A \to E \) : 3  
10. \( A \to F \) : 3  
11. \( A \to G \) : 3  
12. \( B \to E \) : 3  
13. \( B \to F \) : 3  
14. \( B \to G \) : 3  
15. \( E \to T \) : 3  
16. \( F \to T \) : 3  
17. \( G \to T \) : 3  
---
## **Step 2: Look for minimum total weight paths**
We can try to find the shortest path length from \( S \) to \( T \) by considering possible routes.
**Possible first step:**  
From \( S \), we can go to \( A \) (cost 1) or \( B \) (cost 1).
---
### **From \( A \) (cost so far = 1)**:
From \( A \), we have edges to:
- \( C \) (cost 2) → total to \( C \) = \( 1 + 2 = 3 \)
- \( D \) (cost 2) → total to \( D \) = \( 1 + 2 = 3 \)
- \( E \) (cost 3) → total to \( E \) = \( 1 + 3 = 4 \)
- \( F \) (cost 3) → total to \( F \) = \( 1 + 3 = 4 \)
- \( G \) (cost 3) → total to \( G \) = \( 1 + 3 = 4 \)
From \( C \): \( C \to T \) cost 3 → total \( 3 + 3 = 6 \)  
From \( D \): \( D \to T \) cost 3 → total \( 3 + 3 = 6 \)  
From \( E \): \( E \to T \) cost 3 → total \( 4 + 3 = 7 \)  
From \( F \): \( F \to T \) cost 3 → total \( 4 + 3 = 7 \)  
From \( G \): \( G \to T \) cost 3 → total \( 4 + 3 = 7 \)
So from \( S \to A \to C \to T \): total weight = 6, edges = 3.  
From \( S \to A \to D \to T \): total weight = 6, edges = 3.
---
### **From \( B \) (cost so far = 1)**:
From \( B \), we have edges to:
- \( C \) (cost 2) → total to \( C \) = \( 1 + 2 = 3 \)
- \( D \) (cost 2) → total to \( D \) = \( 1 + 2 = 3 \)
- \( E \) (cost 3) → total to \( E \) = \( 1 + 3 = 4 \)
- \( F \) (cost 3) → total to \( F \) = \( 1 + 3 = 4 \)
- \( G \) (cost 3) → total to \( G \) = \( 1 + 3 = 4 \)
From \( C \): \( C \to T \) cost 3 → total \( 3 + 3 = 6 \)  
From \( D \): \( D \to T \) cost 3 → total \( 3 + 3 = 6 \)  
From \( E \): \( E \to T \) cost 3 → total \( 4 + 3 = 7 \)  
From \( F \): \( F \to T \) cost 3 → total \( 4 + 3 = 7 \)  
From \( G \): \( G \to T \) cost 3 → total \( 4 + 3 = 7 \)
So from \( S \to B \to C \to T \): total weight = 6, edges = 3.  
From \( S \to B \to D \to T \): total weight = 6, edges = 3.
---
## **Step 3: Check if there are any shorter paths**
We see the shortest total weight so far is 6.  
Let’s check if any other routes can be shorter than 6.
Directly from \( S \) to \( T \) doesn’t exist.  
Length 2 paths: \( S \to A \to T \) doesn’t exist (no edge \( A \to T \)).  
Length 3 paths: the ones above are \( S \to A \to C \to T \) or \( S \to A \to D \to T \) etc.
Could there be a length 2 path? No, because \( S \) only connects to \( A \) and \( B \), and \( A, B \) don’t connect directly to \( T \).
Could there be a length 4 path with total weight &lt; 6?  
For example: \( S \to A \to E \to T \): costs \( 1 + 3 + 3 = 7 \) &gt; 6.  
So no.
Thus minimum total weight = 6.
---
## **Step 4: Find all paths with total weight 6**
We already found:
1. \( S \to A \to C \to T \)  
   Weight: \( 1 + 2 + 3 = 6 \), edges: 3.
2. \( S \to A \to D \to T \)  
   Weight: \( 1 + 2 + 3 = 6 \), edges: 3.
3. \( S \to B \to C \to T \)  
   Weight: \( 1 + 2 + 3 = 6 \), edges: 3.
4. \( S \to B \to D \to T \)  
   Weight: \( 1 + 2 + 3 = 6 \), edges: 3.
Any others?  
What about \( S \to A \to E \to T \) etc.? That’s 7, not 6.  
What about \( S \to A \to C \to \dots \) — \( C \) only goes to \( T \), so no branching after \( C \).  
Similarly \( D \) only goes to \( T \).
So only these four.
---
## **Step 5: Verify with systematic enumeration**
Let’s compute distances from \( S \):
\[
dist[S] = 0
\]
\[
dist[A] = 1, \quad dist[B] = 1
\]
From \( A \):
- \( dist[C] = \min(\infty, 1+2) = 3 \)  
- \( dist[D] = 3 \)  
- \( dist[E] = 4 \)  
- \( dist[F] = 4 \)  
- \( dist[G] = 4 \)
From \( B \):
- \( dist[C] = \min(3, 1+2) = 3 \)  
- \( dist[D] = 3 \)  
- \( dist[E] = 4 \)  
- \( dist[F] = 4 \)  
- \( dist[G] = 4 \)
From \( C \):
- \( dist[T] = 3+3 = 6 \)
From \( D \):
- \( dist[T] = 3+3 = 6 \)
From \( E \):
- \( dist[T] = 4+3 = 7 \)
From \( F \):
- \( dist[T] = 4+3 = 7 \)
From \( G \):
- \( dist[T] = 4+3 = 7 \)
So shortest distance to \( T \) = 6, via \( C \) or \( D \).
---
**All shortest paths**:
From \( S \) to \( C \) via \( A \) or \( B \) (2 ways), then \( C \to T \).  
From \( S \) to \( D \) via \( A \) or \( B \) (2 ways), then \( D \to T \).
That’s \( 2 + 2 = 4 \) shortest paths.
---
## **Step 6: Final answer**
\[
\boxed{
\begin{aligned}
&amp;\text{1. Path: } S \to A \to C \to T, \quad \text{Weight: } 6, \quad \text{Edges: } 3 \\
&amp;\text{2. Path: } S \to A \to D \to T, \quad \text{Weight: } 6, \quad \text{Edges: } 3 \\
&amp;\text{3. Path: } S \to B \to C \to T, \quad \text{Weight: } 6, \quad \text{Edges: } 3 \\
&amp;\text{4. Path: } S \to B \to D \to T, \quad \text{Weight: } 6, \quad \text{Edges: } 3
\end{aligned}
}
\]
**Explanation of method**:  
We computed distances from \( S \) to all nodes by hand, noticing that the minimal distance to \( T \) is 6, achieved only via intermediate nodes \( C \) or \( D \), each of which can be reached from \( A \) or \( B \) (both at distance 1 from \( S \)). This yields exactly 4 distinct minimum-weight paths, each of length 3 edges and total weight 6.</x:v>
      </x:c>
    </x:row>
    <x:row r="90" ht="48" customHeight="1">
      <x:c r="A90" s="29" t="str">
        <x:v>deepseek_F01</x:v>
      </x:c>
      <x:c r="B90" s="30" t="n">
        <x:v>46248.06537256944</x:v>
      </x:c>
      <x:c r="C90" s="29" t="str">
        <x:v>E/H search burden</x:v>
      </x:c>
      <x:c r="D90" s="29" t="str">
        <x:v>deepseek</x:v>
      </x:c>
      <x:c r="E90" s="29" t="str">
        <x:v>F</x:v>
      </x:c>
      <x:c r="F90" s="29" t="n">
        <x:v>1</x:v>
      </x:c>
      <x:c r="G90" s="29" t="n">
        <x:v>200</x:v>
      </x:c>
      <x:c r="H90" s="29" t="str">
        <x:v>deepseek/deepseek-v3.2-exp</x:v>
      </x:c>
      <x:c r="I90" s="29" t="str">
        <x:v>siliconflow</x:v>
      </x:c>
      <x:c r="J90" s="29" t="str">
        <x:v>deepseek/deepseek-v3.2-exp</x:v>
      </x:c>
      <x:c r="K90" s="29" t="str">
        <x:v>SiliconFlow</x:v>
      </x:c>
      <x:c r="L90" s="29" t="str">
        <x:v>gen-1786671202-nFEMisjrJbGp7lgIHbe7</x:v>
      </x:c>
      <x:c r="M90" s="29" t="n">
        <x:v>198</x:v>
      </x:c>
      <x:c r="N90" s="29" t="n">
        <x:v>1048</x:v>
      </x:c>
      <x:c r="O90" s="29" t="n">
        <x:v>1246</x:v>
      </x:c>
      <x:c r="P90" s="31" t="n">
        <x:v>0.00048314</x:v>
      </x:c>
      <x:c r="Q90" s="32" t="str">
        <x:v>Alright, let’s work through this systematically.
---
## **1. Understanding the problem**
We have a weighted directed graph from **S** to **T** with the given edges.  
We need **all distinct minimum-total-weight paths** from S to T.
First, let’s list all edges clearly:
1. S → A: 1  
2. A → T: 5  
3. S → B: 1  
4. B → T: 5  
5. S → C: 1  
6. C → E: 2  
7. E → T: 3  
8. S → D: 1  
9. D → F: 2  
10. F → T: 3  
11. C → F: 3  
12. D → E: 3  
13. C → T: 6  
14. D → T: 6  
15. S → G: 2  
16. G → T: 5  
---
## **2. Finding possible S–T paths and weights**
We can think in terms of **enumerating all simple S–T paths** because the graph is small.
### **Paths via A or B**
- S → A → T: weight = 1 + 5 = 6  
- S → B → T: weight = 1 + 5 = 6  
---
### **Paths via C**
From S → C (1):  
- C → T: 6 ⇒ S–C–T = 7  
- C → E → T: 2 + 3 = 5 ⇒ total = 1 + 5 = 6  
- C → F → T: 3 + 3 = 6 ⇒ total = 1 + 6 = 7  
So via C:  
1. S–C–E–T: 6  
2. S–C–T: 7  
3. S–C–F–T: 7  
---
### **Paths via D**
From S → D (1):  
- D → T: 6 ⇒ S–D–T = 7  
- D → F → T: 2 + 3 = 5 ⇒ total = 1 + 5 = 6  
- D → E → T: 3 + 3 = 6 ⇒ total = 1 + 6 = 7  
So via D:  
1. S–D–F–T: 6  
2. S–D–T: 7  
3. S–D–E–T: 7  
---
### **Paths via G**
S → G → T: 2 + 5 = 7  
---
## **3. Cross-checking possible mixed paths**
Could there be paths like S → C → E → … but E only goes to T (no further edges).  
Could there be S → C → F → T already counted.  
Could there be S → D → E → T counted.  
Could there be S → C → … → D? No edge C→D exists.  
Could there be S → D → … → C? No edge D→C exists.  
Also possible: S → C → F → … but F only goes to T.  
S → D → F → T counted.  
What about S → C → E → … E only to T.  
So all simple S–T paths are covered above.
---
## **4. Listing all S–T paths with their weights**
1. S–A–T: 6 (2 edges)  
2. S–B–T: 6 (2 edges)  
3. S–C–E–T: 6 (3 edges)  
4. S–D–F–T: 6 (3 edges)  
5. S–C–T: 7 (2 edges)  
6. S–D–T: 7 (2 edges)  
7. S–C–F–T: 7 (3 edges)  
8. S–D–E–T: 7 (3 edges)  
9. S–G–T: 7 (2 edges)  
---
## **5. Finding minimum total weight**
From the list, the smallest total weight is **6**.  
Paths with weight 6:
1. S–A–T (2 edges)  
2. S–B–T (2 edges)  
3. S–C–E–T (3 edges)  
4. S–D–F–T (3 edges)  
Check if any other path with weight 6 exists:  
Could S → G → something? G only goes to T (weight 5), so S–G–T is 7.  
Could S → C → something → something? Only C–E–T gives 6, C–F–T is 7, C–T is 7.  
Could S → D → something? Only D–F–T gives 6, D–E–T is 7, D–T is 7.  
Could there be longer path S–C–E–… but E only goes to T.  
Could there be S–D–F–… but F only goes to T.  
What about S–C–…–D? No edge from C to D.  
What about S–D–…–C? No edge from D to C.  
So these 4 are all.
---
## **6. Final answer**
**Minimum total weight = 6**  
All minimum-weight paths:
| Path        | Total Weight | Number of Edges |
|-------------|--------------|-----------------|
| S → A → T   | 6            | 2               |
| S → B → T   | 6            | 2               |
| S → C → E → T | 6          | 3               |
| S → D → F → T | 6          | 3               |
---
**Explanation of method**:  
I enumerated all simple S–T paths by considering each direct neighbor of S (A, B, C, D, G) and then all possible routes from there to T using the given edges.  
I computed total weights for each path and identified the minimum weight (6) and listed all paths achieving that weight.  
No hidden paths exist because the graph edges are explicitly given and no edges allow longer paths that could be cheaper than 6.</x:v>
      </x:c>
    </x:row>
    <x:row r="91" ht="48" customHeight="1">
      <x:c r="A91" s="29" t="str">
        <x:v>deepseek_G01</x:v>
      </x:c>
      <x:c r="B91" s="30" t="n">
        <x:v>46248.06578049769</x:v>
      </x:c>
      <x:c r="C91" s="29" t="str">
        <x:v>E/H search burden</x:v>
      </x:c>
      <x:c r="D91" s="29" t="str">
        <x:v>deepseek</x:v>
      </x:c>
      <x:c r="E91" s="29" t="str">
        <x:v>G</x:v>
      </x:c>
      <x:c r="F91" s="29" t="n">
        <x:v>1</x:v>
      </x:c>
      <x:c r="G91" s="29" t="n">
        <x:v>200</x:v>
      </x:c>
      <x:c r="H91" s="29" t="str">
        <x:v>deepseek/deepseek-v3.2-exp</x:v>
      </x:c>
      <x:c r="I91" s="29" t="str">
        <x:v>siliconflow</x:v>
      </x:c>
      <x:c r="J91" s="29" t="str">
        <x:v>deepseek/deepseek-v3.2-exp</x:v>
      </x:c>
      <x:c r="K91" s="29" t="str">
        <x:v>SiliconFlow</x:v>
      </x:c>
      <x:c r="L91" s="29" t="str">
        <x:v>gen-1786671249-BlhNdE3jtz58v3WbW6bT</x:v>
      </x:c>
      <x:c r="M91" s="29" t="n">
        <x:v>231</x:v>
      </x:c>
      <x:c r="N91" s="29" t="n">
        <x:v>753</x:v>
      </x:c>
      <x:c r="O91" s="29" t="n">
        <x:v>984</x:v>
      </x:c>
      <x:c r="P91" s="31" t="n">
        <x:v>0.0003711</x:v>
      </x:c>
      <x:c r="Q91" s="32" t="str">
        <x:v>Alright — let’s break this down step-by-step.
---
## **1. Understanding the structure**
We have:
- **S** → A (1), S → B (1)
- **A** → C, D, E, F (each weight 2)
- **A** → G, H, I, J (each weight 3)
- **B** → C, D, E, F (each weight 2)
- **B** → G, H, I, J (each weight 3)
- **C, D, E, F, G, H, I, J** → T (each weight 3)
So possible path patterns from S to T:
1. **S → A → (C/D/E/F) → T**  
   Weight = 1 + 2 + 3 = **6**
2. **S → A → (G/H/I/J) → T**  
   Weight = 1 + 3 + 3 = **7**
3. **S → B → (C/D/E/F) → T**  
   Weight = 1 + 2 + 3 = **6**
4. **S → B → (G/H/I/J) → T**  
   Weight = 1 + 3 + 3 = **7**
So minimum weight = **6**.
---
## **2. Enumerating all weight-6 paths**
From S to A (cost 1) → middle node from {C, D, E, F} (cost 2) → T (cost 3):  
That’s 4 paths.
From S to B (cost 1) → middle node from {C, D, E, F} (cost 2) → T (cost 3):  
That’s another 4 paths.
So total distinct **minimum-weight paths** = 8.
---
## **3. Listing them**
Each path has **3 edges**, total weight **6**.
From S–A route:
1. S → A → C → T  
2. S → A → D → T  
3. S → A → E → T  
4. S → A → F → T
From S–B route:
5. S → B → C → T  
6. S → B → D → T  
7. S → B → E → T  
8. S → B → F → T
---
## **4. Verification**
Let’s check no shorter path exists:
- S → A → T? No direct edge.  
- S → B → T? No direct edge.  
- S → (C/D/E/F/G/H/I/J)? No direct edge from S to those.  
- Any 2-edge path? Impossible because S connects only to A or B, and A/B don’t connect directly to T. So shortest possible is 3 edges.  
- Could there be a weight less than 6?  
  Minimum possible: S→A (1) + min edge from A to some X (2) + X→T (3) = 6.  
  Similarly S→B (1) + min edge from B to some X (2) + X→T (3) = 6.  
  So 6 is indeed minimal.
---
**Final answer:**
---
**Distinct minimum-total-weight paths from S to T (weight = 6, edges = 3):**
1. S → A → C → T  
2. S → A → D → T  
3. S → A → E → T  
4. S → A → F → T  
5. S → B → C → T  
6. S → B → D → T  
7. S → B → E → T  
8. S → B → F → T  
**Total weight:** 6  
**Number of edges:** 3  
**Number of such paths:** 8  
**Method:**  
- Observed S connects only to A and B with weight 1.  
- A and B connect to middle nodes in two groups: {C, D, E, F} with weight 2, and {G, H, I, J} with weight 3.  
- All middle nodes connect to T with weight 3.  
- Computed path weights:  
  - S→A/B→(C/D/E/F)→T = 1 + 2 + 3 = 6  
  - S→A/B→(G/H/I/J)→T = 1 + 3 + 3 = 7  
- Minimum = 6, found all combinations with middle nodes C, D, E, F from both A and B.  
- Verified no shorter path exists because S only connects to A and B, no direct S→T, and A/B→T requires a middle node.</x:v>
      </x:c>
    </x:row>
    <x:row r="92" ht="48" customHeight="1">
      <x:c r="A92" s="29" t="str">
        <x:v>deepseek_H01</x:v>
      </x:c>
      <x:c r="B92" s="30" t="n">
        <x:v>46248.06646447917</x:v>
      </x:c>
      <x:c r="C92" s="29" t="str">
        <x:v>E/H search burden</x:v>
      </x:c>
      <x:c r="D92" s="29" t="str">
        <x:v>deepseek</x:v>
      </x:c>
      <x:c r="E92" s="29" t="str">
        <x:v>H</x:v>
      </x:c>
      <x:c r="F92" s="29" t="n">
        <x:v>1</x:v>
      </x:c>
      <x:c r="G92" s="29" t="n">
        <x:v>200</x:v>
      </x:c>
      <x:c r="H92" s="29" t="str">
        <x:v>deepseek/deepseek-v3.2-exp</x:v>
      </x:c>
      <x:c r="I92" s="29" t="str">
        <x:v>siliconflow</x:v>
      </x:c>
      <x:c r="J92" s="29" t="str">
        <x:v>deepseek/deepseek-v3.2-exp</x:v>
      </x:c>
      <x:c r="K92" s="29" t="str">
        <x:v>SiliconFlow</x:v>
      </x:c>
      <x:c r="L92" s="29" t="str">
        <x:v>gen-1786671284-ZEFI0ChayZjA3gvYvQre</x:v>
      </x:c>
      <x:c r="M92" s="29" t="n">
        <x:v>244</x:v>
      </x:c>
      <x:c r="N92" s="29" t="n">
        <x:v>1431</x:v>
      </x:c>
      <x:c r="O92" s="29" t="n">
        <x:v>1675</x:v>
      </x:c>
      <x:c r="P92" s="31" t="n">
        <x:v>0.00065259</x:v>
      </x:c>
      <x:c r="Q92" s="32" t="str">
        <x:v>Alright, let’s go step by step.
---
## **1. Understanding the Graph**
We have **S** as the start and **T** as the target.  
All edges listed are directed and weighted.
Let’s group the edges by structure:
### **Group 1: Direct-ish paths through A,B,C,D**
- S → A: 1  
  A → T: 5  
  Total = **1 + 5 = 6**
- S → B: 1  
  B → T: 5  
  Total = **6**
- S → C: 1  
  C → T: 5  
  Total = **6**
- S → D: 1  
  D → T: 5  
  Total = **6**
These are 4 distinct paths of length 2 edges, weight 6.
---
### **Group 2: Paths via E or F branching to G or H**
From S:  
- S → E: 1  
  E → G: 2  
  G → T: 3  
  Total = 1 + 2 + 3 = **6** (3 edges)  
- S → E: 1  
  E → H: 2  
  H → T: 3  
  Total = 6  
Similarly from S → F:  
- S → F: 1  
  F → G: 2  
  G → T: 3  
  Total = 6  
- S → F: 1  
  F → H: 2  
  H → T: 3  
  Total = 6  
That’s 4 paths from E/F → G/H:  
1. S-E-G-T  
2. S-E-H-T  
3. S-F-G-T  
4. S-F-H-T  
Each has 3 edges, weight 6.
---
### **Group 3: Paths via E or F branching to I or J**
From S → E:  
- E → I: 3  
  I → T: 3  
  Total = 1 + 3 + 3 = **7** (3 edges) → **not 6**, so not minimal.  
From S → E:  
- E → J: 3  
  J → T: 3  
  Total = 7  
Similarly from S → F:  
- F → I: 3  
  I → T: 3  
  Total = 7  
- F → J: 3  
  J → T: 3  
  Total = 7  
So these are **not** minimal (weight 7 &gt; 6).
---
### **Group 4: Paths via K,L,M,N**
- S → K: 2  
  K → T: 5  
  Total = 7 → not minimal.  
Similarly S → L: 2, L → T: 5 → total 7.  
S → M: 2, M → T: 5 → total 7.  
S → N: 2, N → T: 5 → total 7.
---
So far, minimal weight found is **6**.
---
## **2. Check for shorter than 6?**
Possible to get weight &lt; 6?  
Look at smallest possible:  
S → (some node) → T:  
- If S → X = 1 and X → T = 5 → total 6.  
- If S → X = 2 and X → T = 3 → total 5? But is there X → T = 3? Yes, G, H, I, J have edges to T with weight 3.  
But S → G? No direct edge.  
S → E = 1, E → G = 2, G → T = 3 → total 6.  
S → K = 2, but K → T = 5 → 7.  
What about S → something → something → T in 3 edges with sum &lt; 6?  
Let’s check:  
E → I = 3, I → T = 3, plus S→E=1 → 7.  
F → I = 3, same 7.  
S → E = 1, E → G = 2, G → T = 3 → 6 (smallest possible for 3 edges).  
S → E = 1, E → H = 2, H → T = 3 → 6.  
Thus **minimum total weight = 6**.
---
## **3. Enumerate all paths with total weight 6**
### **3.1 Paths with 2 edges**
S → A → T: weight 6  
S → B → T: weight 6  
S → C → T: weight 6  
S → D → T: weight 6  
That’s 4 paths.
### **3.2 Paths with 3 edges**
From earlier:  
S → E → G → T: weight 6  
S → E → H → T: weight 6  
S → F → G → T: weight 6  
S → F → H → T: weight 6  
That’s 4 paths.
---
### **3.3 Check for other 3-edge paths with weight 6**
Could we have S → K → ??? → T in 3 edges with weight 6?  
S → K = 2, need remaining 4 weight in 2 edges to T.  
K only connects to T (weight 5) in given list? Yes, only K → T: 5. So 2 edges total weight 7.  
Similarly L, M, N only connect to T with weight 5.
What about S → E → I → T? 1 + 3 + 3 = 7, no.  
S → E → J → T? 7.  
S → F → I → T? 7.  
S → F → J → T? 7.
So only those 4 three-edge paths above.
---
### **3.4 Check for 4-edge paths with weight 6**
Possible?  
Example: S → E → G → ??? → T? But G only goes to T (weight 3). So S-E-G-T is 3 edges.  
S → E → G → (no other node) → T impossible.  
So no 4-edge path can be weight 6 unless edges of weight 0 exist, which they don’t. Minimum extra edge adds at least 2 (E → G = 2), so total would exceed 6 if more edges than minimal.
Thus only 2-edge and 3-edge paths with total 6.
---
## **4. List all distinct minimum-total-weight paths**
1. S → A → T (weight 6, 2 edges)  
2. S → B → T (weight 6, 2 edges)  
3. S → C → T (weight 6, 2 edges)  
4. S → D → T (weight 6, 2 edges)  
5. S → E → G → T (weight 6, 3 edges)  
6. S → E → H → T (weight 6, 3 edges)  
7. S → F → G → T (weight 6, 3 edges)  
8. S → F → H → T (weight 6, 3 edges)  
---
## **5. Summary**
**Minimum total weight:** 6  
**Number of distinct minimum-weight paths:** 8  
**Breakdown:**  
- 4 paths of length 2 edges  
- 4 paths of length 3 edges  
**Method:**  
- Listed all edges from S and edges to T.  
- Computed possible path weights for 2-edge and 3-edge paths.  
- Found minimal weight = 6.  
- Enumerated all paths achieving weight 6 by checking each possible intermediate node combination.  
- Verified no 4+-edge path can have weight 6 given edge weights ≥ 2 except S→something weight 1.  
---
**Final Answer:**
| #  | Node Sequence | Total Weight | # of Edges |
|----|---------------|--------------|------------|
| 1  | S → A → T     | 6            | 2          |
| 2  | S → B → T     | 6            | 2          |
| 3  | S → C → T     | 6            | 2          |
| 4  | S → D → T     | 6            | 2          |
| 5  | S → E → G → T | 6            | 3          |
| 6  | S → E → H → T | 6            | 3          |
| 7  | S → F → G → T | 6            | 3          |
| 8  | S → F → H → T | 6            | 3          |
All 8 are distinct and minimal (weight 6).</x:v>
      </x:c>
    </x:row>
    <x:row r="93" ht="48" customHeight="1">
      <x:c r="A93" s="29" t="str">
        <x:v>deepseek_H02</x:v>
      </x:c>
      <x:c r="B93" s="30" t="n">
        <x:v>46248.06708541667</x:v>
      </x:c>
      <x:c r="C93" s="29" t="str">
        <x:v>E/H search burden</x:v>
      </x:c>
      <x:c r="D93" s="29" t="str">
        <x:v>deepseek</x:v>
      </x:c>
      <x:c r="E93" s="29" t="str">
        <x:v>H</x:v>
      </x:c>
      <x:c r="F93" s="29" t="n">
        <x:v>2</x:v>
      </x:c>
      <x:c r="G93" s="29" t="n">
        <x:v>200</x:v>
      </x:c>
      <x:c r="H93" s="29" t="str">
        <x:v>deepseek/deepseek-v3.2-exp</x:v>
      </x:c>
      <x:c r="I93" s="29" t="str">
        <x:v>siliconflow</x:v>
      </x:c>
      <x:c r="J93" s="29" t="str">
        <x:v>deepseek/deepseek-v3.2-exp</x:v>
      </x:c>
      <x:c r="K93" s="29" t="str">
        <x:v>SiliconFlow</x:v>
      </x:c>
      <x:c r="L93" s="29" t="str">
        <x:v>gen-1786671343-1P66DB8Zi5nwj0PjNH1N</x:v>
      </x:c>
      <x:c r="M93" s="29" t="n">
        <x:v>244</x:v>
      </x:c>
      <x:c r="N93" s="29" t="n">
        <x:v>1283</x:v>
      </x:c>
      <x:c r="O93" s="29" t="n">
        <x:v>1527</x:v>
      </x:c>
      <x:c r="P93" s="31" t="n">
        <x:v>0.00059191</x:v>
      </x:c>
      <x:c r="Q93" s="32" t="str">
        <x:v>Alright, let’s break this down step by step.
---
## **Step 1: Understanding the graph structure**
From the list, we can group edges by origin:
**From S (source):**
- S → A: weight 1  
- S → B: weight 1  
- S → C: weight 1  
- S → D: weight 1  
- S → E: weight 1  
- S → F: weight 1  
- S → K: weight 2  
- S → L: weight 2  
- S → M: weight 2  
- S → N: weight 2  
**From A, B, C, D:**
- A → T: weight 5  
- B → T: weight 5  
- C → T: weight 5  
- D → T: weight 5  
**From E, F:**
- E → G: 2  
- E → H: 2  
- F → G: 2  
- F → H: 2  
- E → I: 3  
- E → J: 3  
- F → I: 3  
- F → J: 3  
**From G, H:**
- G → T: 3  
- H → T: 3  
**From I, J:**
- I → T: 3  
- J → T: 3  
**From K, L, M, N:**
- K → T: 5  
- L → T: 5  
- M → T: 5  
- N → T: 5  
---
## **Step 2: Possible 2‑hop paths from S to T**
From S via A/B/C/D/E/F/K/L/M/N to T.
**Case 1:** S → (A,B,C,D) → T  
Weight = 1 + 5 = **6** (2 edges)
**Case 2:** S → (K,L,M,N) → T  
Weight = 2 + 5 = **7** (2 edges)
**Case 3:** S → E → (G,H,I,J) → T  
- S → E (1), E → G (2), G → T (3): total = 1 + 2 + 3 = **6** (3 edges)  
- S → E (1), E → H (2), H → T (3): total = **6** (3 edges)  
- S → E (1), E → I (3), I → T (3): total = 1 + 3 + 3 = **7** (3 edges)  
- S → E (1), E → J (3), J → T (3): total = **7** (3 edges)
**Case 4:** S → F → (G,H,I,J) → T  
Same as E:  
- S → F (1), F → G (2), G → T (3): total = **6** (3 edges)  
- S → F (1), F → H (2), H → T (3): total = **6** (3 edges)  
- S → F (1), F → I (3), I → T (3): total = 7  
- S → F (1), F → J (3), J → T (3): total = 7  
---
## **Step 3: Find minimum total weight**
From above, smallest total weight seen so far is **6**.
Possible ways to get total weight 6:
1. **2‑hop paths:** S → (A,B,C,D) → T: weight = 1 + 5 = 6.  
   That’s 4 paths:  
   - S → A → T  
   - S → B → T  
   - S → C → T  
   - S → D → T  
2. **3‑hop paths via E or F to G or H to T:**  
   - S → E → G → T (1 + 2 + 3 = 6)  
   - S → E → H → T (1 + 2 + 3 = 6)  
   - S → F → G → T (1 + 2 + 3 = 6)  
   - S → F → H → T (1 + 2 + 3 = 6)  
Check if any other 3‑hop path has weight 6:  
What about S → E → I → T? 1 + 3 + 3 = 7, so no.  
S → E → J → T = 7.  
S → F → I → T = 7.  
S → F → J → T = 7.  
Check 4‑hop paths: There’s no way to get weight less than 6 because smallest edge from S is 1, and going through more edges adds at least 1+2+2+… etc. Let’s see:  
Example: S → E → G → (?) but G only goes to T, so no longer path possible.  
Similarly, E → G only, G → T only. So no branching beyond 3 hops except maybe if there were longer chains, but here all middle nodes (G,H,I,J) only go to T. So longest path from S to T is 3 edges.
So possible path lengths: 2 edges or 3 edges.
---
## **Step 4: Verify no other weight‑6 paths**
Check S → K → T: 2 + 5 = 7.  
S → L/M/N → T: 7.  
Check S → E → G → T = 6 (already counted)  
S → E → H → T = 6  
S → F → G → T = 6  
S → F → H → T = 6  
Check S → E → I → T = 7  
S → E → J → T = 7  
S → F → I → T = 7  
S → F → J → T = 7  
All 2‑hop paths with weight 6: only A,B,C,D.  
Also check: could there be S → something → something → T with total 6 other than via E/F to G/H?  
The only middle nodes from S with cost 1 are A,B,C,D,E,F.  
A,B,C,D go directly to T with cost 5 (total 6).  
E,F go to G,H with cost 2 or I,J with cost 3.  
From G,H cost to T is 3, so E→G→T = 1+2+3=6.  
From I,J cost to T is 3, so E→I→T = 1+3+3=7.  
So indeed, only the 8 paths listed have total weight 6.
---
## **Step 5: List all minimum‑total‑weight paths (weight = 6)**
**(A) 2‑hop paths (2 edges, total 6):**
1. S → A → T  
2. S → B → T  
3. S → C → T  
4. S → D → T  
**(B) 3‑hop paths (3 edges, total 6):**
5. S → E → G → T  
6. S → E → H → T  
7. S → F → G → T  
8. S → F → H → T  
---
## **Step 6: Final answer**
**Minimum total weight:** 6  
**Number of distinct min‑weight paths:** 8  
**Paths:**
1. S, A, T — weight 6, edges 2  
2. S, B, T — weight 6, edges 2  
3. S, C, T — weight 6, edges 2  
4. S, D, T — weight 6, edges 2  
5. S, E, G, T — weight 6, edges 3  
6. S, E, H, T — weight 6, edges 3  
7. S, F, G, T — weight 6, edges 3  
8. S, F, H, T — weight 6, edges 3  
**Explanation:**  
We enumerated all possible paths from S to T (max 3 edges due to graph structure) and computed their total weights. The minimal weight is 6, achieved by the 2‑hop paths via A,B,C,D and the 3‑hop paths via E/F → G/H. All other paths have weight 7 or more.</x:v>
      </x:c>
    </x:row>
    <x:row r="94" ht="48" customHeight="1">
      <x:c r="A94" s="29" t="str">
        <x:v>deepseek_G02</x:v>
      </x:c>
      <x:c r="B94" s="30" t="n">
        <x:v>46248.06773015046</x:v>
      </x:c>
      <x:c r="C94" s="29" t="str">
        <x:v>E/H search burden</x:v>
      </x:c>
      <x:c r="D94" s="29" t="str">
        <x:v>deepseek</x:v>
      </x:c>
      <x:c r="E94" s="29" t="str">
        <x:v>G</x:v>
      </x:c>
      <x:c r="F94" s="29" t="n">
        <x:v>2</x:v>
      </x:c>
      <x:c r="G94" s="29" t="n">
        <x:v>200</x:v>
      </x:c>
      <x:c r="H94" s="29" t="str">
        <x:v>deepseek/deepseek-v3.2-exp</x:v>
      </x:c>
      <x:c r="I94" s="29" t="str">
        <x:v>siliconflow</x:v>
      </x:c>
      <x:c r="J94" s="29" t="str">
        <x:v>deepseek/deepseek-v3.2-exp</x:v>
      </x:c>
      <x:c r="K94" s="29" t="str">
        <x:v>SiliconFlow</x:v>
      </x:c>
      <x:c r="L94" s="29" t="str">
        <x:v>gen-1786671397-5EwB2gce71CPkxcuqf3r</x:v>
      </x:c>
      <x:c r="M94" s="29" t="n">
        <x:v>231</x:v>
      </x:c>
      <x:c r="N94" s="29" t="n">
        <x:v>1046</x:v>
      </x:c>
      <x:c r="O94" s="29" t="n">
        <x:v>1277</x:v>
      </x:c>
      <x:c r="P94" s="31" t="n">
        <x:v>0.00049123</x:v>
      </x:c>
      <x:c r="Q94" s="32" t="str">
        <x:v>Alright — let’s go step by step.
---
## **1. Understanding the graph structure**
We have:
- **Source**: \( S \)
- **Sink**: \( T \)
- **Intermediate nodes**:
  - Level 1: \( A, B \) (directly from \( S \))
  - Level 2: \( C, D, E, F, G, H, I, J \) (from \( A \) or \( B \))
  - Level 3: \( T \) (from \( C, D, E, F, G, H, I, J \))
---
### **Edge weights given:**
From \( S \):
\[
S \to A: 1, \quad S \to B: 1
\]
From \( A \) to Level 2 nodes:
\[
A \to C: 2, \quad A \to D: 2, \quad A \to E: 2, \quad A \to F: 2
\]
\[
A \to G: 3, \quad A \to H: 3, \quad A \to I: 3, \quad A \to J: 3
\]
From \( B \) to Level 2 nodes:
\[
B \to C: 2, \quad B \to D: 2, \quad B \to E: 2, \quad B \to F: 2
\]
\[
B \to G: 3, \quad B \to H: 3, \quad B \to I: 3, \quad B \to J: 3
\]
From Level 2 nodes to \( T \):
\[
C \to T: 3, \quad D \to T: 3, \quad E \to T: 3, \quad F \to T: 3
\]
\[
G \to T: 3, \quad H \to T: 3, \quad I \to T: 3, \quad J \to T: 3
\]
---
## **2. Path length possibilities**
A path is \( S \to (\text{Level 1}) \to (\text{Level 2}) \to T \).
We have **3 edges** in every possible path.
---
### **Case 1**: \( S \to A \to (\text{Level 2}) \to T \)
- **Step 1**: \( S \to A \) weight \( 1 \)
- **Step 2**: \( A \to X \) where \( X \in \{C,D,E,F,G,H,I,J\} \)
  - If \( X \in \{C,D,E,F\} \), weight \( 2 \)
  - If \( X \in \{G,H,I,J\} \), weight \( 3 \)
- **Step 3**: \( X \to T \) weight \( 3 \) (same for all \( X \)).
Total weight:
\[
1 + w_{A\to X} + 3
\]
- For \( X \in \{C,D,E,F\} \): \( 1 + 2 + 3 = 6 \)
- For \( X \in \{G,H,I,J\} \): \( 1 + 3 + 3 = 7 \)
So possible total weights from \( A \) side: \( 6 \) or \( 7 \).
---
### **Case 2**: \( S \to B \to (\text{Level 2}) \to T \)
Same as above (weights symmetric):
- \( S \to B \): 1
- \( B \to X \): 2 if \( X \in \{C,D,E,F\} \), 3 if \( X \in \{G,H,I,J\} \)
- \( X \to T \): 3
Total weight:
\[
1 + w_{B\to X} + 3
\]
- For \( X \in \{C,D,E,F\} \): \( 1 + 2 + 3 = 6 \)
- For \( X \in \{G,H,I,J\} \): \( 1 + 3 + 3 = 7 \)
So same totals: \( 6 \) or \( 7 \).
---
## **3. Minimum total weight**
Minimum total weight = \( 6 \).
This happens when **Level 2 node** \( X \in \{C,D,E,F\} \) and \( X \) is reachable from \( A \) or \( B \) with weight \( 2 \).
---
## **4. Enumerating all minimum-weight paths**
From \( A \) to \( C,D,E,F \) (4 nodes) → each yields a path \( S \to A \to X \to T \), weight \( 6 \).
From \( B \) to \( C,D,E,F \) (4 nodes) → each yields a path \( S \to B \to X \to T \), weight \( 6 \).
Check: \( C \) is reachable from both \( A \) and \( B \), so there are **two distinct paths** ending in \( C \to T \) but with different first node \( A \) or \( B \).
---
**List all min-weight paths**:
1. \( S \to A \to C \to T \) (weight \( 1+2+3=6 \), edges \( 3 \))
2. \( S \to A \to D \to T \) (weight \( 6 \), edges \( 3 \))
3. \( S \to A \to E \to T \) (weight \( 6 \), edges \( 3 \))
4. \( S \to A \to F \to T \) (weight \( 6 \), edges \( 3 \))
5. \( S \to B \to C \to T \) (weight \( 6 \), edges \( 3 \))
6. \( S \to B \to D \to T \) (weight \( 6 \), edges \( 3 \))
7. \( S \to B \to E \to T \) (weight \( 6 \), edges \( 3 \))
8. \( S \to B \to F \to T \) (weight \( 6 \), edges \( 3 \))
---
Total distinct min-weight paths: \( 8 \).
---
## **5. Verification**
- No shorter than 3 edges possible (must go through 3 hops).
- Any path with \( X \in \{G,H,I,J\} \) has middle edge weight \( 3 \) → total \( 7 \), not minimum.
- Any path with \( X \in \{C,D,E,F\} \) has middle edge weight \( 2 \) → total \( 6 \), minimal.
- All \( X \in \{C,D,E,F\} \) are reachable from both \( A \) and \( B \) with weight \( 2 \), so \( 4 \times 2 = 8 \) paths.
---
**Final answer**:
\[
\boxed{8}
\]
**Minimum total weight**: \( 6 \)  
**Number of edges per path**: \( 3 \)
**Paths**:
1. \( S, A, C, T \)  
2. \( S, A, D, T \)  
3. \( S, A, E, T \)  
4. \( S, A, F, T \)  
5. \( S, B, C, T \)  
6. \( S, B, D, T \)  
7. \( S, B, E, T \)  
8. \( S, B, F, T \)  
Each has weight \( 6 \) and \( 3 \) edges.</x:v>
      </x:c>
    </x:row>
    <x:row r="95" ht="48" customHeight="1">
      <x:c r="A95" s="29" t="str">
        <x:v>deepseek_F02</x:v>
      </x:c>
      <x:c r="B95" s="30" t="n">
        <x:v>46248.06841053241</x:v>
      </x:c>
      <x:c r="C95" s="29" t="str">
        <x:v>E/H search burden</x:v>
      </x:c>
      <x:c r="D95" s="29" t="str">
        <x:v>deepseek</x:v>
      </x:c>
      <x:c r="E95" s="29" t="str">
        <x:v>F</x:v>
      </x:c>
      <x:c r="F95" s="29" t="n">
        <x:v>2</x:v>
      </x:c>
      <x:c r="G95" s="29" t="n">
        <x:v>200</x:v>
      </x:c>
      <x:c r="H95" s="29" t="str">
        <x:v>deepseek/deepseek-v3.2-exp</x:v>
      </x:c>
      <x:c r="I95" s="29" t="str">
        <x:v>siliconflow</x:v>
      </x:c>
      <x:c r="J95" s="29" t="str">
        <x:v>deepseek/deepseek-v3.2-exp</x:v>
      </x:c>
      <x:c r="K95" s="29" t="str">
        <x:v>SiliconFlow</x:v>
      </x:c>
      <x:c r="L95" s="29" t="str">
        <x:v>gen-1786671452-2qujgfO9w84h3KGyQpRZ</x:v>
      </x:c>
      <x:c r="M95" s="29" t="n">
        <x:v>198</x:v>
      </x:c>
      <x:c r="N95" s="29" t="n">
        <x:v>1238</x:v>
      </x:c>
      <x:c r="O95" s="29" t="n">
        <x:v>1436</x:v>
      </x:c>
      <x:c r="P95" s="31" t="n">
        <x:v>0.00056104</x:v>
      </x:c>
      <x:c r="Q95" s="32" t="str">
        <x:v>Alright, let's go step by step.
---
## **Step 1 — Restating the problem**
We have a directed weighted graph with source \( S \) and target \( T \).  
Edges given:
1. \( S \to A \) : 1  
2. \( A \to T \) : 5  
3. \( S \to B \) : 1  
4. \( B \to T \) : 5  
5. \( S \to C \) : 1  
6. \( C \to E \) : 2  
7. \( E \to T \) : 3  
8. \( S \to D \) : 1  
9. \( D \to F \) : 2  
10. \( F \to T \) : 3  
11. \( C \to F \) : 3  
12. \( D \to E \) : 3  
13. \( C \to T \) : 6  
14. \( D \to T \) : 6  
15. \( S \to G \) : 2  
16. \( G \to T \) : 5  
We want **all distinct minimum-total-weight paths** from \( S \) to \( T \).
---
## **Step 2 — Observations**
We can try to find shortest path distance \( d(S,T) \) and then find all paths achieving that distance.
Let's compute shortest path distances from \( S \) to each node using Dijkstra’s or just enumeration because graph is small.
---
**From \( S \) to \( A \)**: \( 1 \)  
**From \( S \) to \( B \)**: \( 1 \)  
**From \( S \) to \( C \)**: \( 1 \)  
**From \( S \) to \( D \)**: \( 1 \)  
**From \( S \) to \( G \)**: \( 2 \)  
---
**From \( S \) to \( E \)**:
- \( S \to C \to E \) : \( 1 + 2 = 3 \)  
- \( S \to D \to E \) : \( 1 + 3 = 4 \) → worse than 3  
So \( d(S,E) = 3 \) via \( C \) only? Wait, check: \( S \to C \to E \) is 3.  
Also \( S \to D \to E \) is 4, so yes 3 is smallest.
---
**From \( S \) to \( F \)**:
- \( S \to D \to F \) : \( 1 + 2 = 3 \)  
- \( S \to C \to F \) : \( 1 + 3 = 4 \) → worse  
So \( d(S,F) = 3 \) via \( D \) only? Wait, also \( S \to C \to E \) doesn’t lead to \( F \) directly. So only those two.
---
**From \( S \) to \( T \)**:
Possible direct from \( S \)? No.
Let’s list all possible paths to \( T \) and compute lengths:
1. \( S \to A \to T \): \( 1 + 5 = 6 \)  
2. \( S \to B \to T \): \( 1 + 5 = 6 \)  
3. \( S \to C \to T \): \( 1 + 6 = 7 \)  
4. \( S \to D \to T \): \( 1 + 6 = 7 \)  
5. \( S \to G \to T \): \( 2 + 5 = 7 \)  
6. \( S \to C \to E \to T \): \( 1 + 2 + 3 = 6 \)  
7. \( S \to D \to E \to T \): \( 1 + 3 + 3 = 7 \)  
8. \( S \to D \to F \to T \): \( 1 + 2 + 3 = 6 \)  
9. \( S \to C \to F \to T \): \( 1 + 3 + 3 = 7 \)
---
Check if any shorter than 6 exists:  
From above, smallest seen is 6.
So \( d(S,T) = 6 \).
---
## **Step 3 — Find all length-6 paths**
List them from above:
1. \( S \to A \to T \) : \( 1 + 5 = 6 \) (2 edges)  
2. \( S \to B \to T \) : \( 1 + 5 = 6 \) (2 edges)  
3. \( S \to C \to E \to T \) : \( 1 + 2 + 3 = 6 \) (3 edges)  
4. \( S \to D \to F \to T \) : \( 1 + 2 + 3 = 6 \) (3 edges)
Are there any others?  
Check \( S \to G \to T \) is 7, so no.  
Check \( S \to C \to F \to T \) is 7.  
Check \( S \to D \to E \to T \) is 7.  
Check \( S \to C \to T \) is 7.  
Check \( S \to D \to T \) is 7.
What about \( S \to C \to F \to T \) is 7, so no.  
\( S \to D \to E \to T \) is 7.
Any path with \( S \to G \) starts at cost 2, and shortest from \( G \) to \( T \) is direct 5, total 7.
So indeed only these 4 paths have total weight 6.
---
## **Step 4 — Verify no shorter path**
We can think:  
From \( S \), first step cost 1 to \( A,B,C,D \) or cost 2 to \( G \).
From \( A \) or \( B \), only way to \( T \) is direct edge 5, total 6.  
From \( C \), cheapest to \( T \): either direct 6 (total 7) or via \( E \) (cost 2+3=5 to \( T \)) total 6.  
From \( D \), cheapest to \( T \): either direct 6 (total 7) or via \( F \) (cost 2+3=5 to \( T \)) total 6.
From \( G \), direct 5, total 7.
So indeed minimum total is 6, achieved only as described.
---
**Final answer:**
---
**Minimum total weight:** \( 6 \)  
**All minimum-weight paths:**
1. \( S \to A \to T \)  
   Total weight: \( 6 \)  
   Number of edges: \( 2 \)  
2. \( S \to B \to T \)  
   Total weight: \( 6 \)  
   Number of edges: \( 2 \)  
3. \( S \to C \to E \to T \)  
   Total weight: \( 6 \)  
   Number of edges: \( 3 \)  
4. \( S \to D \to F \to T \)  
   Total weight: \( 6 \)  
   Number of edges: \( 3 \)  
---
**Method explanation:**  
I enumerated all possible paths from \( S \) to \( T \) given the listed edges, computed each total weight, found the minimum (6), then listed all distinct paths achieving that weight. The graph is small enough for brute-force verification. No other paths of total weight 6 exist because:
- From \( S \) with first step cost 1, to reach \( T \) with total 6, the remaining cost must be 5.  
- From \( A,B \), direct to \( T \) is cost 5 → works.  
- From \( C \), cheapest way to get remaining cost 5 is \( C \to E \to T \) (2+3=5).  
- From \( D \), cheapest way to get remaining cost 5 is \( D \to F \to T \) (2+3=5).  
- From \( G \) (first step cost 2), remaining cost must be 4, but shortest from \( G \) to \( T \) is 5, so impossible.  
Thus, exactly 4 paths.</x:v>
      </x:c>
    </x:row>
    <x:row r="96" ht="48" customHeight="1">
      <x:c r="A96" s="29" t="str">
        <x:v>deepseek_E02</x:v>
      </x:c>
      <x:c r="B96" s="30" t="n">
        <x:v>46248.06890583333</x:v>
      </x:c>
      <x:c r="C96" s="29" t="str">
        <x:v>E/H search burden</x:v>
      </x:c>
      <x:c r="D96" s="29" t="str">
        <x:v>deepseek</x:v>
      </x:c>
      <x:c r="E96" s="29" t="str">
        <x:v>E</x:v>
      </x:c>
      <x:c r="F96" s="29" t="n">
        <x:v>2</x:v>
      </x:c>
      <x:c r="G96" s="29" t="n">
        <x:v>200</x:v>
      </x:c>
      <x:c r="H96" s="29" t="str">
        <x:v>deepseek/deepseek-v3.2-exp</x:v>
      </x:c>
      <x:c r="I96" s="29" t="str">
        <x:v>siliconflow</x:v>
      </x:c>
      <x:c r="J96" s="29" t="str">
        <x:v>deepseek/deepseek-v3.2-exp</x:v>
      </x:c>
      <x:c r="K96" s="29" t="str">
        <x:v>SiliconFlow</x:v>
      </x:c>
      <x:c r="L96" s="29" t="str">
        <x:v>gen-1786671511-BnOiDaCdwCsq1nDQi2oV</x:v>
      </x:c>
      <x:c r="M96" s="29" t="n">
        <x:v>201</x:v>
      </x:c>
      <x:c r="N96" s="29" t="n">
        <x:v>969</x:v>
      </x:c>
      <x:c r="O96" s="29" t="n">
        <x:v>1170</x:v>
      </x:c>
      <x:c r="P96" s="31" t="n">
        <x:v>0.00045156</x:v>
      </x:c>
      <x:c r="Q96" s="32" t="str">
        <x:v>Alright — let’s work through this step-by-step.
---
## **Step 1: Understanding the graph structure**
We have:
- **S** → A: 1  
- **S** → B: 1  
From **A** or **B**, we can go to **C** or **D** with weight 2, and to **E**, **F**, **G** with weight 3.
From **C** or **D** to **T**: weight 3.  
From **E**, **F**, **G** to **T**: weight 3.
So possible two-hop paths from S to T are:
1. S → (A or B) → (C or D) → T  
2. S → (A or B) → (E or F or G) → T  
---
## **Step 2: Compute path lengths for each type**
**Type 1:**  
S → A → C → T:  
1 + 2 + 3 = 6 edges: 3 edges total.  
S → A → D → T:  
1 + 2 + 3 = 6 edges: 3 edges total.  
Similarly for S → B → C → T:  
1 + 2 + 3 = 6 edges: 3 edges total.  
S → B → D → T:  
1 + 2 + 3 = 6 edges: 3 edges total.  
So 4 paths of length 6 with 3 edges.
---
**Type 2:**  
S → A → E → T:  
1 + 3 + 3 = 7 edges: 3 edges total.  
Similarly for S → A → F → T, S → A → G → T:  
Each is 1 + 3 + 3 = 7 edges: 3 edges total.  
From S → B → E → T:  
1 + 3 + 3 = 7 edges: 3 edges total.  
Similarly for S → B → F → T, S → B → G → T:  
Each is 1 + 3 + 3 = 7 edges: 3 edges total.  
So 6 paths of length 7 with 3 edges.
---
## **Step 3: Check for shorter paths (2 edges)**
Direct from S to T? Not given.  
S → A → T? No edge A → T.  
S → B → T? No edge B → T.  
S → C? No direct S → C.  
So no 2-edge paths.
---
## **Step 4: Check for longer paths (4 edges)**
Could we go S → A → C → …? From C only to T, so 3 edges max from S to T via C.  
From A → C → T is 3 edges total.  
From A → E → T is 3 edges total.  
What about S → A → C → T → ??? No, T is sink.  
So all paths from S to T have exactly 3 edges in this graph given the edges listed.
---
## **Step 5: Compare total weights**
We have:
- **Weight 6** paths: S → (A or B) → (C or D) → T.  
That’s 2 × 2 = 4 distinct paths.
- **Weight 7** paths: S → (A or B) → (E or F or G) → T.  
That’s 2 × 3 = 6 distinct paths.
Clearly **minimum total weight = 6**.
---
## **Step 6: List all minimum-weight paths**
1. S → A → C → T: weight 6, edges 3  
2. S → A → D → T: weight 6, edges 3  
3. S → B → C → T: weight 6, edges 3  
4. S → B → D → T: weight 6, edges 3  
---
## **Step 7: Verification**
From S: cost to A = 1, to B = 1.  
From A:  
- to C (cost 2) then C → T (cost 3) total = 1 + 2 + 3 = 6  
- to D (cost 2) then D → T (cost 3) total = 1 + 2 + 3 = 6  
- to E/F/G (cost 3) then to T (cost 3) total = 1 + 3 + 3 = 7  
From B:  
- to C (cost 2) then C → T (cost 3) total = 1 + 2 + 3 = 6  
- to D (cost 2) then D → T (cost 3) total = 1 + 2 + 3 = 6  
- to E/F/G (cost 3) then to T (cost 3) total = 1 + 3 + 3 = 7  
So indeed, minimum possible total weight is 6, achieved only by going through C or D from A or B.
---
**Final answer:**
---
**Minimum total weight:** 6  
**Number of edges in each such path:** 3  
**Number of distinct minimum-weight paths:** 4  
**Paths:**
1. **S → A → C → T** (weight 6, 3 edges)  
2. **S → A → D → T** (weight 6, 3 edges)  
3. **S → B → C → T** (weight 6, 3 edges)  
4. **S → B → D → T** (weight 6, 3 edges)  
---
**Explanation of method:**  
- Listed all possible 3-edge paths from S to T given the edges.  
- Computed total weight for each path type.  
- Identified minimum total weight as 6 by comparing path sums.  
- Verified no shorter (2-edge) or same-weight alternative routes exist by checking adjacency.  
- All minimum-weight paths go S → (A or B) → (C or D) → T.</x:v>
      </x:c>
    </x:row>
    <x:row r="97" ht="48" customHeight="1">
      <x:c r="A97" s="29" t="str">
        <x:v>deepseek_F03</x:v>
      </x:c>
      <x:c r="B97" s="30" t="n">
        <x:v>46248.069774097225</x:v>
      </x:c>
      <x:c r="C97" s="29" t="str">
        <x:v>E/H search burden</x:v>
      </x:c>
      <x:c r="D97" s="29" t="str">
        <x:v>deepseek</x:v>
      </x:c>
      <x:c r="E97" s="29" t="str">
        <x:v>F</x:v>
      </x:c>
      <x:c r="F97" s="29" t="n">
        <x:v>3</x:v>
      </x:c>
      <x:c r="G97" s="29" t="n">
        <x:v>200</x:v>
      </x:c>
      <x:c r="H97" s="29" t="str">
        <x:v>deepseek/deepseek-v3.2-exp</x:v>
      </x:c>
      <x:c r="I97" s="29" t="str">
        <x:v>siliconflow</x:v>
      </x:c>
      <x:c r="J97" s="29" t="str">
        <x:v>deepseek/deepseek-v3.2-exp</x:v>
      </x:c>
      <x:c r="K97" s="29" t="str">
        <x:v>SiliconFlow</x:v>
      </x:c>
      <x:c r="L97" s="29" t="str">
        <x:v>gen-1786671554-EcCPbMQZs5jVuWmydb4d</x:v>
      </x:c>
      <x:c r="M97" s="29" t="n">
        <x:v>198</x:v>
      </x:c>
      <x:c r="N97" s="29" t="n">
        <x:v>1472</x:v>
      </x:c>
      <x:c r="O97" s="29" t="n">
        <x:v>1670</x:v>
      </x:c>
      <x:c r="P97" s="31" t="n">
        <x:v>0.00065698</x:v>
      </x:c>
      <x:c r="Q97" s="32" t="str">
        <x:v>Alright, let's work through this systematically.
---
## **Step 1: Restating the problem**
We have a directed weighted graph from \( S \) to \( T \) with given edges and weights. We want **all distinct minimum-total-weight paths** from \( S \) to \( T \).
Edges:
1. \( S \to A: 1 \)  
2. \( A \to T: 5 \)  
3. \( S \to B: 1 \)  
4. \( B \to T: 5 \)  
5. \( S \to C: 1 \)  
6. \( C \to E: 2 \)  
7. \( E \to T: 3 \)  
8. \( S \to D: 1 \)  
9. \( D \to F: 2 \)  
10. \( F \to T: 3 \)  
11. \( C \to F: 3 \)  
12. \( D \to E: 3 \)  
13. \( C \to T: 6 \)  
14. \( D \to T: 6 \)  
15. \( S \to G: 2 \)  
16. \( G \to T: 5 \)
---
## **Step 2: Direct inspection for possible shortest path candidates**
We can try to compute shortest distances from \( S \) to \( T \) using a quick Dijkstra-like mental check.
From \( S \):
- **Via A**: \( S \to A \to T \): \( 1 + 5 = 6 \)  
- **Via B**: \( S \to B \to T \): \( 1 + 5 = 6 \)  
- **Via C**:  
  - \( S \to C \to T \): \( 1 + 6 = 7 \)  
  - \( S \to C \to E \to T \): \( 1 + 2 + 3 = 6 \)  
  - \( S \to C \to F \to T \): \( 1 + 3 + 3 = 7 \)  
- **Via D**:  
  - \( S \to D \to T \): \( 1 + 6 = 7 \)  
  - \( S \to D \to F \to T \): \( 1 + 2 + 3 = 6 \)  
  - \( S \to D \to E \to T \): \( 1 + 3 + 3 = 7 \)  
- **Via G**: \( S \to G \to T \): \( 2 + 5 = 7 \)
Also possible: longer paths via multiple hops, but likely not shorter.
Let’s check if any path shorter than 6 exists.
From \( S \), cheapest first edge is weight 1 to \( A, B, C, D \).  
From \( C \), cheapest to \( E \) (2), then to \( T \) (3) gives total \( 1+2+3=6 \).  
From \( D \), cheapest to \( F \) (2), then to \( T \) (3) gives total \( 1+2+3=6 \).  
From \( C \) directly to \( T \) is 7.  
From \( D \) directly to \( T \) is 7.  
From \( A \) to \( T \) is 6, from \( B \) to \( T \) is 6.
So minimal cost found so far is **6**.
Check if 5 is possible:  
From \( S \) to \( G \) costs 2, then \( G \to T \) costs 5 → total 7.  
No other edges from \( S \) except those listed.  
So shortest possible is 6.
---
## **Step 3: Find all paths of total weight 6**
List all paths with total weight 6:
1. \( S \to A \to T \)  
   Weight: \( 1 + 5 = 6 \)  
   Edges: 2  
2. \( S \to B \to T \)  
   Weight: \( 1 + 5 = 6 \)  
   Edges: 2  
3. \( S \to C \to E \to T \)  
   Weight: \( 1 + 2 + 3 = 6 \)  
   Edges: 3  
4. \( S \to D \to F \to T \)  
   Weight: \( 1 + 2 + 3 = 6 \)  
   Edges: 3  
Are there others?
Check \( S \to C \to F \to T \): \( 1 + 3 + 3 = 7 \) → not minimal.  
Check \( S \to D \to E \to T \): \( 1 + 3 + 3 = 7 \) → not minimal.  
Check \( S \to C \to T \): 7 → no.  
Check \( S \to D \to T \): 7 → no.  
Check \( S \to G \to T \): 7 → no.
Check if 3-edge path via \( S \to C \to \dots \) other than \( C \to E \to T \) can be 6:  
Only \( C \to E \) weight 2, \( E \to T \) weight 3 is 5 after C, so total 6.  
\( C \to F \) weight 3, \( F \to T \) weight 3 is 6 after C, so total 7 from S. So no.
Check if 4-edge path can be 6:  
For example: \( S \to C \to E \to ?? \to T \) — but \( E \) only goes to \( T \), so no.  
\( S \to D \to F \to ?? \to T \) — \( F \) only goes to \( T \).  
So no 4-edge path with weight 6.
Check \( S \to C \to F \to T \) = 7, so not minimal.  
\( S \to D \to E \to T \) = 7, so not minimal.
Also check \( S \to C \to \dots \) maybe via \( C \to F \) and \( F \to T \) is 7.  
\( S \to D \to E \to T \) is 7.
What about \( S \to C \to E \to T \) vs \( S \to D \to F \to T \), we already have them.
Could there be a path \( S \to C \to \dots \) via \( C \to T \) directly? That’s 7.  
So no.
Thus **only 4 minimal paths** of weight 6.
---
## **Step 4: Verify no shorter path exists**
We can do a quick Dijkstra in mind:
Dist from \( S \):
\( d[S] = 0 \)  
\( d[A] = 1 \)  
\( d[B] = 1 \)  
\( d[C] = 1 \)  
\( d[D] = 1 \)  
\( d[G] = 2 \)
From \( A \): \( d[T] \) via A = \( 1 + 5 = 6 \)  
From \( B \): \( d[T] \) via B = \( 1 + 5 = 6 \)  
From \( C \):  
- to \( E \): \( d[E] = \min( \infty, 1+2=3) \)  
- to \( F \): \( d[F] = \min( \infty, 1+3=4) \)  
- to \( T \): \( d[T] = \min(6, 1+6=7) \) → stays 6  
From \( D \):  
- to \( F \): \( d[F] = \min(4, 1+2=3) \) → update \( d[F] = 3 \)  
- to \( E \): \( d[E] = \min(3, 1+3=4) \) → stays 3  
- to \( T \): \( d[T] = \min(6, 1+6=7) \) → stays 6  
From \( E \): \( d[E] = 3 \), to \( T \): \( d[T] = \min(6, 3+3=6) \) → stays 6 (new path same cost)  
From \( F \): \( d[F] = 3 \), to \( T \): \( d[T] = \min(6, 3+3=6) \) → stays 6 (new path same cost)  
From \( G \): \( d[G] = 2 \), to \( T \): \( d[T] = \min(6, 2+5=7) \) → stays 6.
So indeed shortest distance to \( T \) = 6.
---
## **Step 5: List all minimal paths**
From Dijkstra predecessor reasoning:  
Paths achieving \( d[T] = 6 \):
1. \( S \to A \to T \) (weight 6, edges 2)  
2. \( S \to B \to T \) (weight 6, edges 2)  
3. \( S \to C \to E \to T \) (weight 6, edges 3)  
4. \( S \to D \to F \to T \) (weight 6, edges 3)
No other combinations give weight 6.
---
**Final answer:**
\[
\boxed{
\begin{aligned}
&amp;\text{1. } S \to A \to T, \text{ weight } 6, \text{ edges } 2\\
&amp;\text{2. } S \to B \to T, \text{ weight } 6, \text{ edges } 2\\
&amp;\text{3. } S \to C \to E \to T, \text{ weight } 6, \text{ edges } 3\\
&amp;\text{4. } S \to D \to F \to T, \text{ weight } 6, \text{ edges } 3
\end{aligned}
}
\]
**Method:**  
I computed shortest distance from \( S \) to \( T \) by mental Dijkstra, found minimal total weight = 6, then enumerated all simple paths achieving that weight by checking each possible route from \( S \) to \( T \) using given edges. Verified no path shorter than 6 exists and no other path of weight 6 besides these four.</x:v>
      </x:c>
    </x:row>
    <x:row r="98" ht="48" customHeight="1">
      <x:c r="A98" s="29" t="str">
        <x:v>deepseek_H03</x:v>
      </x:c>
      <x:c r="B98" s="30" t="n">
        <x:v>46248.07029640046</x:v>
      </x:c>
      <x:c r="C98" s="29" t="str">
        <x:v>E/H search burden</x:v>
      </x:c>
      <x:c r="D98" s="29" t="str">
        <x:v>deepseek</x:v>
      </x:c>
      <x:c r="E98" s="29" t="str">
        <x:v>H</x:v>
      </x:c>
      <x:c r="F98" s="29" t="n">
        <x:v>3</x:v>
      </x:c>
      <x:c r="G98" s="29" t="n">
        <x:v>200</x:v>
      </x:c>
      <x:c r="H98" s="29" t="str">
        <x:v>deepseek/deepseek-v3.2-exp</x:v>
      </x:c>
      <x:c r="I98" s="29" t="str">
        <x:v>siliconflow</x:v>
      </x:c>
      <x:c r="J98" s="29" t="str">
        <x:v>deepseek/deepseek-v3.2-exp</x:v>
      </x:c>
      <x:c r="K98" s="29" t="str">
        <x:v>SiliconFlow</x:v>
      </x:c>
      <x:c r="L98" s="29" t="str">
        <x:v>gen-1786671629-rEMD1f28LbIIepS562fG</x:v>
      </x:c>
      <x:c r="M98" s="29" t="n">
        <x:v>244</x:v>
      </x:c>
      <x:c r="N98" s="29" t="n">
        <x:v>1069</x:v>
      </x:c>
      <x:c r="O98" s="29" t="n">
        <x:v>1313</x:v>
      </x:c>
      <x:c r="P98" s="31" t="n">
        <x:v>0.00050417</x:v>
      </x:c>
      <x:c r="Q98" s="32" t="str">
        <x:v>Alright, let’s go step-by-step.
---
## **Step 1 – Understanding the graph structure**
We have a start node **S** and target node **T**.  
Edges and weights are listed explicitly. Let’s group them to see structure.
From **S** to **T** directly via some intermediate nodes:
1. **S → A, B, C, D**: weight 1 each; then **A → T, B → T, C → T, D → T**: weight 5 each.  
   So via A: total weight = 1 + 5 = 6.
2. **S → E, F**: weight 1 each; then:  
   E → G (2), E → H (2), F → G (2), F → H (2)  
   G → T (3), H → T (3)  
   Also E → I (3), E → J (3), F → I (3), F → J (3)  
   I → T (3), J → T (3)
   Let’s compute paths via E:
   - S → E (1) → G (2) → T (3): total = 1 + 2 + 3 = 6  
   - S → E (1) → H (2) → T (3): total = 6  
   - S → E (1) → I (3) → T (3): total = 1 + 3 + 3 = 7  
   - S → E (1) → J (3) → T (3): total = 7
   Similarly via F:  
   - S → F (1) → G (2) → T (3): total = 6  
   - S → F (1) → H (2) → T (3): total = 6  
   - S → F (1) → I (3) → T (3): total = 7  
   - S → F (1) → J (3) → T (3): total = 7
3. **S → K, L, M, N**: weight 2 each; then K → T, L → T, M → T, N → T: weight 5 each.  
   Total = 2 + 5 = 7.
---
## **Step 2 – Identify minimum total weight**
From above, we see weights:
- Via A, B, C, D: total = 6  
- Via E→G→T or E→H→T: total = 6  
- Via F→G→T or F→H→T: total = 6  
- Via E→I→T or E→J→T: total = 7  
- Via F→I→T or F→J→T: total = 7  
- Via K, L, M, N: total = 7  
So minimum total weight = 6.
---
## **Step 3 – Enumerate all paths with total weight 6**
**(1) Via A, B, C, D** (4 paths):
- S → A → T: weight = 1 + 5 = 6, edges = 2  
- S → B → T: weight = 6, edges = 2  
- S → C → T: weight = 6, edges = 2  
- S → D → T: weight = 6, edges = 2
**(2) Via E and F with G or H** (4 paths):
- S → E → G → T: 1 + 2 + 3 = 6, edges = 3  
- S → E → H → T: 6, edges = 3  
- S → F → G → T: 6, edges = 3  
- S → F → H → T: 6, edges = 3
---
**(3) Check if any other path can be weight 6**  
What about S → E → something else? E → I is 3, so S → E → I → T = 7, not 6.  
Similarly S → F → I → T = 7.
What about S → K etc.: 2 + 5 = 7, not minimal.
What about S → E → G → something else? No, G only goes to T.  
What about S → E → H → something else? H only goes to T.
So no other paths of weight 6.
---
## **Step 4 – List all distinct minimum-weight paths**
We have **8 distinct paths**:
1. S → A → T (weight 6, edges 2)  
2. S → B → T (weight 6, edges 2)  
3. S → C → T (weight 6, edges 2)  
4. S → D → T (weight 6, edges 2)  
5. S → E → G → T (weight 6, edges 3)  
6. S → E → H → T (weight 6, edges 3)  
7. S → F → G → T (weight 6, edges 3)  
8. S → F → H → T (weight 6, edges 3)
---
## **Step 5 – Verify minimality**
- All edges from S to first hop: cost 1 for A,B,C,D,E,F; cost 2 for K,L,M,N.  
- From first hop to T directly (A,B,C,D): cost 5 → total 6.  
- From E or F: cheapest route to T is via G or H: cost 2 to G/H, then 3 to T, total 1+2+3=6.  
- Any other route from E or F to T costs at least 1+3+3=7.  
- Starting with cost 2 from S (K,L,M,N) leads to total at least 7.  
Thus 6 is indeed minimal.
---
**Final answer:**
\[
\boxed{
\begin{aligned}
&amp;\text{1. S → A → T (weight 6, edges 2)}\\
&amp;\text{2. S → B → T (weight 6, edges 2)}\\
&amp;\text{3. S → C → T (weight 6, edges 2)}\\
&amp;\text{4. S → D → T (weight 6, edges 2)}\\
&amp;\text{5. S → E → G → T (weight 6, edges 3)}\\
&amp;\text{6. S → E → H → T (weight 6, edges 3)}\\
&amp;\text{7. S → F → G → T (weight 6, edges 3)}\\
&amp;\text{8. S → F → H → T (weight 6, edges 3)}
\end{aligned}
}
\]
**Method**:  
I listed all edges, grouped them by first hop from S, computed total path weight for each possible route to T, found minimum total weight = 6, enumerated all distinct paths achieving that weight.</x:v>
      </x:c>
    </x:row>
    <x:row r="99" ht="48" customHeight="1">
      <x:c r="A99" s="29" t="str">
        <x:v>deepseek_E03</x:v>
      </x:c>
      <x:c r="B99" s="30" t="n">
        <x:v>46248.07086339121</x:v>
      </x:c>
      <x:c r="C99" s="29" t="str">
        <x:v>E/H search burden</x:v>
      </x:c>
      <x:c r="D99" s="29" t="str">
        <x:v>deepseek</x:v>
      </x:c>
      <x:c r="E99" s="29" t="str">
        <x:v>E</x:v>
      </x:c>
      <x:c r="F99" s="29" t="n">
        <x:v>3</x:v>
      </x:c>
      <x:c r="G99" s="29" t="n">
        <x:v>200</x:v>
      </x:c>
      <x:c r="H99" s="29" t="str">
        <x:v>deepseek/deepseek-v3.2-exp</x:v>
      </x:c>
      <x:c r="I99" s="29" t="str">
        <x:v>siliconflow</x:v>
      </x:c>
      <x:c r="J99" s="29" t="str">
        <x:v>deepseek/deepseek-v3.2-exp</x:v>
      </x:c>
      <x:c r="K99" s="29" t="str">
        <x:v>SiliconFlow</x:v>
      </x:c>
      <x:c r="L99" s="29" t="str">
        <x:v>gen-1786671674-pBZtB7Ml4syz4w8s3fEp</x:v>
      </x:c>
      <x:c r="M99" s="29" t="n">
        <x:v>201</x:v>
      </x:c>
      <x:c r="N99" s="29" t="n">
        <x:v>926</x:v>
      </x:c>
      <x:c r="O99" s="29" t="n">
        <x:v>1127</x:v>
      </x:c>
      <x:c r="P99" s="31" t="n">
        <x:v>0.00043393</x:v>
      </x:c>
      <x:c r="Q99" s="32" t="str">
        <x:v>Alright — let’s go step by step.  
---
## **1. Understanding the graph**
We have:
- Start: **S**  
- End: **T**  
- Intermediate nodes: A, B, C, D, E, F, G  
- Directed edges with weights as listed.
Let’s list them systematically:  
1. S → A (1)  
2. S → B (1)  
3. A → C (2)  
4. A → D (2)  
5. B → C (2)  
6. B → D (2)  
7. C → T (3)  
8. D → T (3)  
9. A → E (3)  
10. A → F (3)  
11. A → G (3)  
12. B → E (3)  
13. B → F (3)  
14. B → G (3)  
15. E → T (3)  
16. F → T (3)  
17. G → T (3)  
---
## **2. Structure observation**
From S, we can only go to A or B, each with cost 1.  
From A, we can go to C, D, E, F, G.  
From B, we can go to C, D, E, F, G.  
From C or D or E or F or G, we can go only to T with cost 3.  
So **S → (A or B) → (C, D, E, F, G) → T** is the pattern for length-3 paths.  
---
## **3. Compute shortest distances**
We can do Dijkstra or just brute-force manually because graph is small.
---
### **From S to A**: dist = 1  
### **From S to B**: dist = 1  
---
**From S to C**:  
- Via A: S→A (1) + A→C (2) = 3  
- Via B: S→B (1) + B→C (2) = 3  
**From S to D**:  
- Via A: 1 + 2 = 3  
- Via B: 1 + 2 = 3  
**From S to E**:  
- Via A: 1 + 3 = 4  
- Via B: 1 + 3 = 4  
Similarly for F, G: distance 4 from S.
---
**From S to T**:
Possible 2-hop paths: none (no direct S→T edge).  
Possible 3-hop paths:  
- S → A → C → T: cost = 1 + 2 + 3 = 6  
- S → A → D → T: 1 + 2 + 3 = 6  
- S → B → C → T: 1 + 2 + 3 = 6  
- S → B → D → T: 1 + 2 + 3 = 6  
Possible 3-hop via E, F, G:  
- S → A → E → T: 1 + 3 + 3 = 7  
- S → A → F → T: 7  
- S → A → G → T: 7  
- S → B → E → T: 7  
- S → B → F → T: 7  
- S → B → G → T: 7  
So smallest cost to T is **6**.
---
## **4. Check for 4-hop paths**
Can we go S → A → something → something → T?  
No edges from C, D, E, F, G except to T. So 3-hop is the only possible path length for reaching T, because:  
S → (A or B) → (C,D,E,F,G) → T.  
Thus all paths from S to T are exactly 3 edges long.
---
## **5. List all minimal cost paths (cost = 6)**
We already computed:
1. **S → A → C → T**: weight = 1 + 2 + 3 = 6  
2. **S → A → D → T**: weight = 1 + 2 + 3 = 6  
3. **S → B → C → T**: weight = 1 + 2 + 3 = 6  
4. **S → B → D → T**: weight = 1 + 2 + 3 = 6  
No other 3-hop paths have weight 6, because:  
If middle node is E, F, or G:  
S→A (1) + A→E (3) + E→T (3) = 7 (&gt;6).  
Same for B.
So only via C or D gives weight 6.
---
## **6. Summary of results**
**Minimum total weight**: 6  
**Number of edges in each path**: 3  
**All minimum-weight paths**:  
1. S → A → C → T  
2. S → A → D → T  
3. S → B → C → T  
4. S → B → D → T  
---
**Final answer:**
```
Minimum total weight: 6
Edges per path: 3
Paths:
1. S → A → C → T (weight 6)
2. S → A → D → T (weight 6)
3. S → B → C → T (weight 6)
4. S → B → D → T (weight 6)
```
**Method**:  
- Listed all edges and observed graph structure.  
- Computed S to T via all possible 3-hop combinations.  
- Found minimal cost 6 occurs only when middle hop (A or B) goes to C or D (cost 2), not to E/F/G (cost 3).  
- Verified no shorter path exists (no 2-hop S→T, and 3-hop is minimum possible hops because S connects only to A/B, which connect only to C,D,E,F,G, which connect only to T).</x:v>
      </x:c>
    </x:row>
    <x:row r="100" ht="48" customHeight="1">
      <x:c r="A100" s="29" t="str">
        <x:v>deepseek_G03</x:v>
      </x:c>
      <x:c r="B100" s="30" t="n">
        <x:v>46248.071514282405</x:v>
      </x:c>
      <x:c r="C100" s="29" t="str">
        <x:v>E/H search burden</x:v>
      </x:c>
      <x:c r="D100" s="29" t="str">
        <x:v>deepseek</x:v>
      </x:c>
      <x:c r="E100" s="29" t="str">
        <x:v>G</x:v>
      </x:c>
      <x:c r="F100" s="29" t="n">
        <x:v>3</x:v>
      </x:c>
      <x:c r="G100" s="29" t="n">
        <x:v>200</x:v>
      </x:c>
      <x:c r="H100" s="29" t="str">
        <x:v>deepseek/deepseek-v3.2-exp</x:v>
      </x:c>
      <x:c r="I100" s="29" t="str">
        <x:v>siliconflow</x:v>
      </x:c>
      <x:c r="J100" s="29" t="str">
        <x:v>deepseek/deepseek-v3.2-exp</x:v>
      </x:c>
      <x:c r="K100" s="29" t="str">
        <x:v>SiliconFlow</x:v>
      </x:c>
      <x:c r="L100" s="29" t="str">
        <x:v>gen-1786671723-z5Rd3vN2WgDz5zxS9mtd</x:v>
      </x:c>
      <x:c r="M100" s="29" t="n">
        <x:v>231</x:v>
      </x:c>
      <x:c r="N100" s="29" t="n">
        <x:v>1022</x:v>
      </x:c>
      <x:c r="O100" s="29" t="n">
        <x:v>1253</x:v>
      </x:c>
      <x:c r="P100" s="31" t="n">
        <x:v>0.00048139</x:v>
      </x:c>
      <x:c r="Q100" s="32" t="str">
        <x:v>Alright, let's go step-by-step.
---
## **Step 1: Understanding the graph structure**
We have:
- **Start**: `S`
- **End**: `T`
- **First layer**: `S → A` (weight 1), `S → B` (weight 1)
- **Second layer**: From `A` and `B` to `C, D, E, F` (weight 2 each) and to `G, H, I, J` (weight 3 each)
- **Third layer**: `C, D, E, F, G, H, I, J` to `T` (weight 3 each)
So possible path lengths in edges:
1. `S → (A or B)` → `(C,D,E,F,G,H,I,J)` → `T`  
   That's 3 edges total.
---
## **Step 2: Compute path weights for all 3-edge paths**
Let’s denote:
From `S` to `A` or `B`: weight 1  
From `A` or `B` to a mid-node `M` in `{C,D,E,F,G,H,I,J}`: weight 2 (for C–F) or 3 (for G–J)  
From `M` to `T`: weight 3.
So total weight = `1 + w2 + 3`, where `w2` is weight from A/B to M.
---
**Case 1:** Mid-node M ∈ `{C, D, E, F}`:  
`w2 = 2`, so total = `1 + 2 + 3 = 6`.
**Case 2:** Mid-node M ∈ `{G, H, I, J}`:  
`w2 = 3`, so total = `1 + 3 + 3 = 7`.
So minimum total weight is **6**.
---
## **Step 3: Enumerate all paths with total weight 6**
We need:
`S → X → Y → T`, where:
- `X ∈ {A, B}`
- `Y ∈ {C, D, E, F}`
- Edge `X → Y` exists (given: yes, for both A and B to each of C,D,E,F)
- Edge `Y → T` exists (given: yes for C,D,E,F to T)
---
**From S → A → Y → T, Y ∈ {C,D,E,F}:**
1. `S → A → C → T`: weights 1 + 2 + 3 = 6  
2. `S → A → D → T`: 1 + 2 + 3 = 6  
3. `S → A → E → T`: 1 + 2 + 3 = 6  
4. `S → A → F → T`: 1 + 2 + 3 = 6
**From S → B → Y → T, Y ∈ {C,D,E,F}:**
5. `S → B → C → T`: 1 + 2 + 3 = 6  
6. `S → B → D → T`: 1 + 2 + 3 = 6  
7. `S → B → E → T`: 1 + 2 + 3 = 6  
8. `S → B → F → T`: 1 + 2 + 3 = 6
That’s **8 distinct paths** with total weight 6.
---
## **Step 4: Verify no shorter paths (fewer edges)**
Possible number of edges from S to T:
- 1 edge: No direct edge S→T.
- 2 edges: S → (A or B) → T? No edge A→T or B→T except via the mid-nodes C,…,J, so impossible.
- 3 edges: As above.
- 4 or more edges: Could there be a longer path with total weight &lt; 6?  
  Adding more edges would mean more weights, each at least 1, so total would exceed 6 if we have 4 edges.  
  Check: shortest edge weight is 1, so 4 edges at least 1+1+1+1=4, but we can't connect S to T in 4 edges with total weight 6? Let's see:  
  Suppose S→A (1) → C (2) → ??? → T. From C, only C→T (3) exists, so that’s already 3 edges, can’t insert extra. So 4 edges not possible given the listed edges:  
  Actually, check connectivity: from C,D,E,F,G,H,I,J, only edges go to T. So once you reach one of those, you must go to T next. So any path is exactly S → (A or B) → (C,…,J) → T, i.e., exactly 3 edges.  
Thus **all paths from S to T have exactly 3 edges**.
So minimum weight among all 3-edge paths is 6, achieved only when mid-node is in {C,D,E,F}.
---
## **Step 5: Present answer**
**Minimum total weight:** 6  
**Number of edges in each path:** 3  
**Number of distinct minimum-weight paths:** 8  
**Paths:**
1. S → A → C → T (weight 6)  
2. S → A → D → T (weight 6)  
3. S → A → E → T (weight 6)  
4. S → A → F → T (weight 6)  
5. S → B → C → T (weight 6)  
6. S → B → D → T (weight 6)  
7. S → B → E → T (weight 6)  
8. S → B → F → T (weight 6)
---
**Method explanation:**  
- Noticed all S–T paths have exactly 3 edges due to graph layering.  
- Computed total weight = 1 + (weight from A/B to mid-node) + 3.  
- Minimized by choosing mid-nodes with smallest A/B→mid weight, which is 2 for C,D,E,F.  
- Enumerated all combinations: 2 choices for first hop (A or B) × 4 choices for mid-node = 8 paths.  
- Verified no other paths with fewer edges or same edges but smaller total weight.
---
\[
\boxed{8}
\]
**All 8 paths listed above, each with total weight 6, 3 edges.**</x:v>
      </x:c>
    </x:row>
  </x:sheetData>
  <x:mergeCells>
    <x:mergeCell ref="A1:Q1"/>
    <x:mergeCell ref="A2:Q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64" hidden="0" customWidth="1"/>
    <x:col min="3" max="3" width="54" hidden="0" customWidth="1"/>
    <x:col min="4" max="4" width="18" hidden="0" customWidth="1"/>
    <x:col min="5" max="5" width="18" hidden="0" customWidth="1"/>
    <x:col min="6" max="6" width="18" hidden="0" customWidth="1"/>
    <x:col min="7" max="7" width="18" hidden="0" customWidth="1"/>
  </x:cols>
  <x:sheetData>
    <x:row r="1" ht="30" customHeight="1">
      <x:c r="A1" s="3" t="str">
        <x:v>Codebook and Ground Truth</x:v>
      </x:c>
    </x:row>
    <x:row r="2" ht="28" customHeight="1">
      <x:c r="A2" s="7" t="str">
        <x:v>Operational definitions for the combined A–H audit.</x:v>
      </x:c>
    </x:row>
    <x:row r="4">
      <x:c r="A4" s="10" t="str">
        <x:v>Graph ground truth</x:v>
      </x:c>
      <x:c r="B4" s="10"/>
      <x:c r="C4" s="10"/>
      <x:c r="D4" s="10"/>
      <x:c r="E4" s="10"/>
      <x:c r="F4" s="10"/>
      <x:c r="G4" s="10"/>
    </x:row>
    <x:row r="5">
      <x:c r="A5" s="15" t="str">
        <x:v>Graph</x:v>
      </x:c>
      <x:c r="B5" s="15" t="str">
        <x:v>Optimal paths</x:v>
      </x:c>
      <x:c r="C5" s="15" t="str">
        <x:v>Minimum weight</x:v>
      </x:c>
      <x:c r="D5" s="15" t="str">
        <x:v>Edge counts</x:v>
      </x:c>
      <x:c r="E5" s="15" t="str">
        <x:v>Multiplicity</x:v>
      </x:c>
      <x:c r="F5" s="15" t="str">
        <x:v>Relation</x:v>
      </x:c>
      <x:c r="G5" s="15" t="str">
        <x:v>Key distractor</x:v>
      </x:c>
    </x:row>
    <x:row r="6">
      <x:c r="A6" s="33" t="str">
        <x:v>A</x:v>
      </x:c>
      <x:c r="B6" s="33" t="str">
        <x:v>S→A→D→T; S→B→C→T</x:v>
      </x:c>
      <x:c r="C6" s="33" t="n">
        <x:v>6</x:v>
      </x:c>
      <x:c r="D6" s="33" t="str">
        <x:v>3, 3</x:v>
      </x:c>
      <x:c r="E6" s="33" t="n">
        <x:v>2</x:v>
      </x:c>
      <x:c r="F6" s="33" t="str">
        <x:v>same</x:v>
      </x:c>
      <x:c r="G6" s="33" t="str">
        <x:v>Nonminimum alternative(s), weight 7</x:v>
      </x:c>
    </x:row>
    <x:row r="7">
      <x:c r="A7" s="33" t="str">
        <x:v>B</x:v>
      </x:c>
      <x:c r="B7" s="33" t="str">
        <x:v>S→A→T; S→B→C→T</x:v>
      </x:c>
      <x:c r="C7" s="33" t="n">
        <x:v>6</x:v>
      </x:c>
      <x:c r="D7" s="33" t="str">
        <x:v>2, 3</x:v>
      </x:c>
      <x:c r="E7" s="33" t="n">
        <x:v>2</x:v>
      </x:c>
      <x:c r="F7" s="33" t="str">
        <x:v>different</x:v>
      </x:c>
      <x:c r="G7" s="33" t="str">
        <x:v>Nonminimum alternative(s), weight 7</x:v>
      </x:c>
    </x:row>
    <x:row r="8">
      <x:c r="A8" s="33" t="str">
        <x:v>C</x:v>
      </x:c>
      <x:c r="B8" s="33" t="str">
        <x:v>S→A→C→T; S→A→D→T; S→B→C→T; S→B→D→T</x:v>
      </x:c>
      <x:c r="C8" s="33" t="n">
        <x:v>6</x:v>
      </x:c>
      <x:c r="D8" s="33" t="str">
        <x:v>3, 3, 3, 3</x:v>
      </x:c>
      <x:c r="E8" s="33" t="n">
        <x:v>4</x:v>
      </x:c>
      <x:c r="F8" s="33" t="str">
        <x:v>same</x:v>
      </x:c>
      <x:c r="G8" s="33" t="str">
        <x:v>Direct S→T: weight 7, 1 edge</x:v>
      </x:c>
    </x:row>
    <x:row r="9">
      <x:c r="A9" s="33" t="str">
        <x:v>D</x:v>
      </x:c>
      <x:c r="B9" s="33" t="str">
        <x:v>S→A→T; S→B→T; S→B→D→T; S→C→D→T</x:v>
      </x:c>
      <x:c r="C9" s="33" t="n">
        <x:v>6</x:v>
      </x:c>
      <x:c r="D9" s="33" t="str">
        <x:v>2, 2, 3, 3</x:v>
      </x:c>
      <x:c r="E9" s="33" t="n">
        <x:v>4</x:v>
      </x:c>
      <x:c r="F9" s="33" t="str">
        <x:v>different</x:v>
      </x:c>
      <x:c r="G9" s="33" t="str">
        <x:v>Direct S→T: weight 7, 1 edge</x:v>
      </x:c>
    </x:row>
    <x:row r="10">
      <x:c r="A10" s="33" t="str">
        <x:v>E</x:v>
      </x:c>
      <x:c r="B10" s="33" t="str">
        <x:v>S→{A,B}→{C,D}→T</x:v>
      </x:c>
      <x:c r="C10" s="33" t="n">
        <x:v>6</x:v>
      </x:c>
      <x:c r="D10" s="33" t="str">
        <x:v>3, 3, 3, 3</x:v>
      </x:c>
      <x:c r="E10" s="33" t="n">
        <x:v>4</x:v>
      </x:c>
      <x:c r="F10" s="33" t="str">
        <x:v>same</x:v>
      </x:c>
      <x:c r="G10" s="33" t="str">
        <x:v>6 min+1 paths; 10 total</x:v>
      </x:c>
    </x:row>
    <x:row r="11">
      <x:c r="A11" s="33" t="str">
        <x:v>F</x:v>
      </x:c>
      <x:c r="B11" s="33" t="str">
        <x:v>S→A→T; S→B→T; S→C→E→T; S→D→F→T</x:v>
      </x:c>
      <x:c r="C11" s="33" t="n">
        <x:v>6</x:v>
      </x:c>
      <x:c r="D11" s="33" t="str">
        <x:v>2, 2, 3, 3</x:v>
      </x:c>
      <x:c r="E11" s="33" t="n">
        <x:v>4</x:v>
      </x:c>
      <x:c r="F11" s="33" t="str">
        <x:v>different</x:v>
      </x:c>
      <x:c r="G11" s="33" t="str">
        <x:v>5 min+1 paths; 9 total</x:v>
      </x:c>
    </x:row>
    <x:row r="12">
      <x:c r="A12" s="33" t="str">
        <x:v>G</x:v>
      </x:c>
      <x:c r="B12" s="33" t="str">
        <x:v>S→{A,B}→{C,D,E,F}→T</x:v>
      </x:c>
      <x:c r="C12" s="33" t="n">
        <x:v>6</x:v>
      </x:c>
      <x:c r="D12" s="33" t="str">
        <x:v>3 × 8</x:v>
      </x:c>
      <x:c r="E12" s="33" t="n">
        <x:v>8</x:v>
      </x:c>
      <x:c r="F12" s="33" t="str">
        <x:v>same</x:v>
      </x:c>
      <x:c r="G12" s="33" t="str">
        <x:v>8 min+1 paths; 16 total</x:v>
      </x:c>
    </x:row>
    <x:row r="13">
      <x:c r="A13" s="33" t="str">
        <x:v>H</x:v>
      </x:c>
      <x:c r="B13" s="33" t="str">
        <x:v>S→{A,B,C,D}→T; S→{E,F}→{G,H}→T</x:v>
      </x:c>
      <x:c r="C13" s="33" t="n">
        <x:v>6</x:v>
      </x:c>
      <x:c r="D13" s="33" t="str">
        <x:v>2 × 4; 3 × 4</x:v>
      </x:c>
      <x:c r="E13" s="33" t="n">
        <x:v>8</x:v>
      </x:c>
      <x:c r="F13" s="33" t="str">
        <x:v>different</x:v>
      </x:c>
      <x:c r="G13" s="33" t="str">
        <x:v>8 min+1 paths; 16 total</x:v>
      </x:c>
    </x:row>
    <x:row r="14">
      <x:c r="A14" s="33"/>
      <x:c r="B14" s="33"/>
      <x:c r="C14" s="33"/>
      <x:c r="D14" s="33"/>
      <x:c r="E14" s="33"/>
      <x:c r="F14" s="33"/>
      <x:c r="G14" s="33"/>
    </x:row>
    <x:row r="15">
      <x:c r="A15" s="37" t="str">
        <x:v>Outcome variables</x:v>
      </x:c>
      <x:c r="B15" s="37"/>
      <x:c r="C15" s="37"/>
      <x:c r="D15" s="37"/>
      <x:c r="E15" s="37"/>
      <x:c r="F15" s="37"/>
      <x:c r="G15" s="37"/>
    </x:row>
    <x:row r="16" ht="34" customHeight="1">
      <x:c r="A16" s="15" t="str">
        <x:v>Variable</x:v>
      </x:c>
      <x:c r="B16" s="15" t="str">
        <x:v>1 means</x:v>
      </x:c>
      <x:c r="C16" s="15" t="str">
        <x:v>0 means</x:v>
      </x:c>
      <x:c r="D16" s="33"/>
      <x:c r="E16" s="33"/>
      <x:c r="F16" s="33"/>
      <x:c r="G16" s="33"/>
    </x:row>
    <x:row r="17" ht="34" customHeight="1">
      <x:c r="A17" s="33" t="str">
        <x:v>exact_path_set</x:v>
      </x:c>
      <x:c r="B17" s="33" t="str">
        <x:v>All and only correct minimum paths; no duplicates</x:v>
      </x:c>
      <x:c r="C17" s="33" t="str">
        <x:v>Missing, extra, nonminimum, or duplicate path</x:v>
      </x:c>
      <x:c r="D17" s="33"/>
      <x:c r="E17" s="33"/>
      <x:c r="F17" s="33"/>
      <x:c r="G17" s="33"/>
    </x:row>
    <x:row r="18" ht="34" customHeight="1">
      <x:c r="A18" s="33" t="str">
        <x:v>correct_weights</x:v>
      </x:c>
      <x:c r="B18" s="33" t="str">
        <x:v>Every reported weight is correct</x:v>
      </x:c>
      <x:c r="C18" s="33" t="str">
        <x:v>At least one reported weight is wrong</x:v>
      </x:c>
      <x:c r="D18" s="33"/>
      <x:c r="E18" s="33"/>
      <x:c r="F18" s="33"/>
      <x:c r="G18" s="33"/>
    </x:row>
    <x:row r="19" ht="34" customHeight="1">
      <x:c r="A19" s="33" t="str">
        <x:v>correct_edge_counts</x:v>
      </x:c>
      <x:c r="B19" s="33" t="str">
        <x:v>Every final reported edge count is correct</x:v>
      </x:c>
      <x:c r="C19" s="33" t="str">
        <x:v>At least one final edge count is wrong</x:v>
      </x:c>
      <x:c r="D19" s="33"/>
      <x:c r="E19" s="33"/>
      <x:c r="F19" s="33"/>
      <x:c r="G19" s="33"/>
    </x:row>
    <x:row r="20" ht="34" customHeight="1">
      <x:c r="A20" s="33" t="str">
        <x:v>internally_consistent</x:v>
      </x:c>
      <x:c r="B20" s="33" t="str">
        <x:v>Final result and explanation agree after explicit corrections</x:v>
      </x:c>
      <x:c r="C20" s="33" t="str">
        <x:v>An unresolved contradiction remains</x:v>
      </x:c>
      <x:c r="D20" s="33"/>
      <x:c r="E20" s="33"/>
      <x:c r="F20" s="33"/>
      <x:c r="G20" s="33"/>
    </x:row>
    <x:row r="21" ht="34" customHeight="1">
      <x:c r="A21" s="33" t="str">
        <x:v>criterion_confusion</x:v>
      </x:c>
      <x:c r="B21" s="33" t="str">
        <x:v>Conflates minimum total weight with minimum edge count</x:v>
      </x:c>
      <x:c r="C21" s="33" t="str">
        <x:v>Keeps criteria distinct</x:v>
      </x:c>
      <x:c r="D21" s="33"/>
      <x:c r="E21" s="33"/>
      <x:c r="F21" s="33"/>
      <x:c r="G21" s="33"/>
    </x:row>
    <x:row r="22" ht="34" customHeight="1">
      <x:c r="A22" s="33" t="str">
        <x:v>completeness_support</x:v>
      </x:c>
      <x:c r="B22" s="33" t="str">
        <x:v>Gives enough work to justify all minima</x:v>
      </x:c>
      <x:c r="C22" s="33" t="str">
        <x:v>No adequate completeness argument</x:v>
      </x:c>
      <x:c r="D22" s="33"/>
      <x:c r="E22" s="33"/>
      <x:c r="F22" s="33"/>
      <x:c r="G22" s="33"/>
    </x:row>
    <x:row r="23" ht="34" customHeight="1">
      <x:c r="A23" s="33" t="str">
        <x:v>parseable</x:v>
      </x:c>
      <x:c r="B23" s="33" t="str">
        <x:v>Result can be coded unambiguously</x:v>
      </x:c>
      <x:c r="C23" s="33" t="str">
        <x:v>Result cannot be coded unambiguously</x:v>
      </x:c>
      <x:c r="D23" s="33"/>
      <x:c r="E23" s="33"/>
      <x:c r="F23" s="33"/>
      <x:c r="G23" s="33"/>
    </x:row>
    <x:row r="24" ht="34" customHeight="1">
      <x:c r="A24" s="33" t="str">
        <x:v>self_correction</x:v>
      </x:c>
      <x:c r="B24" s="33" t="str">
        <x:v>Explicitly notices and fixes its own visible error</x:v>
      </x:c>
      <x:c r="C24" s="33" t="str">
        <x:v>No explicit self-correction</x:v>
      </x:c>
      <x:c r="D24" s="33"/>
      <x:c r="E24" s="33"/>
      <x:c r="F24" s="33"/>
      <x:c r="G24" s="33"/>
    </x:row>
    <x:row r="25" ht="34" customHeight="1">
      <x:c r="A25" s="33"/>
      <x:c r="B25" s="33"/>
      <x:c r="C25" s="33"/>
      <x:c r="D25" s="33"/>
      <x:c r="E25" s="33"/>
      <x:c r="F25" s="33"/>
      <x:c r="G25" s="33"/>
    </x:row>
    <x:row r="26" ht="34" customHeight="1">
      <x:c r="A26" s="37" t="str">
        <x:v>Trace coding</x:v>
      </x:c>
      <x:c r="B26" s="37"/>
      <x:c r="C26" s="37"/>
      <x:c r="D26" s="37"/>
      <x:c r="E26" s="37"/>
      <x:c r="F26" s="37"/>
      <x:c r="G26" s="37"/>
    </x:row>
    <x:row r="27" ht="34" customHeight="1">
      <x:c r="A27" s="15" t="str">
        <x:v>Code</x:v>
      </x:c>
      <x:c r="B27" s="15" t="str">
        <x:v>Meaning</x:v>
      </x:c>
      <x:c r="C27" s="15" t="str">
        <x:v>Rule</x:v>
      </x:c>
      <x:c r="D27" s="33"/>
      <x:c r="E27" s="33"/>
      <x:c r="F27" s="33"/>
      <x:c r="G27" s="33"/>
    </x:row>
    <x:row r="28" ht="34" customHeight="1">
      <x:c r="A28" s="33" t="str">
        <x:v>E</x:v>
      </x:c>
      <x:c r="B28" s="33" t="str">
        <x:v>Exhaustive path enumeration</x:v>
      </x:c>
      <x:c r="C28" s="33" t="str">
        <x:v>Systematically calculates every feasible S–T path</x:v>
      </x:c>
      <x:c r="D28" s="33"/>
      <x:c r="E28" s="33"/>
      <x:c r="F28" s="33"/>
      <x:c r="G28" s="33"/>
    </x:row>
    <x:row r="29" ht="34" customHeight="1">
      <x:c r="A29" s="33" t="str">
        <x:v>D</x:v>
      </x:c>
      <x:c r="B29" s="33" t="str">
        <x:v>Distance updates / Dijkstra / DP</x:v>
      </x:c>
      <x:c r="C29" s="33" t="str">
        <x:v>Uses distance labels, relaxation, shortest-path DAG, or predecessor backtracking</x:v>
      </x:c>
      <x:c r="D29" s="33"/>
      <x:c r="E29" s="33"/>
      <x:c r="F29" s="33"/>
      <x:c r="G29" s="33"/>
    </x:row>
    <x:row r="30" ht="34" customHeight="1">
      <x:c r="A30" s="33" t="str">
        <x:v>H</x:v>
      </x:c>
      <x:c r="B30" s="33" t="str">
        <x:v>Edge-count/surface heuristic first</x:v>
      </x:c>
      <x:c r="C30" s="33" t="str">
        <x:v>Filters by apparent length before checking weights</x:v>
      </x:c>
      <x:c r="D30" s="33"/>
      <x:c r="E30" s="33"/>
      <x:c r="F30" s="33"/>
      <x:c r="G30" s="33"/>
    </x:row>
    <x:row r="31" ht="34" customHeight="1">
      <x:c r="A31" s="33" t="str">
        <x:v>P</x:v>
      </x:c>
      <x:c r="B31" s="33" t="str">
        <x:v>Partial candidate calculation</x:v>
      </x:c>
      <x:c r="C31" s="33" t="str">
        <x:v>Checks only some obvious paths</x:v>
      </x:c>
      <x:c r="D31" s="33"/>
      <x:c r="E31" s="33"/>
      <x:c r="F31" s="33"/>
      <x:c r="G31" s="33"/>
    </x:row>
    <x:row r="32" ht="34" customHeight="1">
      <x:c r="A32" s="33" t="str">
        <x:v>C</x:v>
      </x:c>
      <x:c r="B32" s="33" t="str">
        <x:v>Criterion conflation</x:v>
      </x:c>
      <x:c r="C32" s="33" t="str">
        <x:v>Treats minimum weight as minimum edge count</x:v>
      </x:c>
      <x:c r="D32" s="33"/>
      <x:c r="E32" s="33"/>
      <x:c r="F32" s="33"/>
      <x:c r="G32" s="33"/>
    </x:row>
    <x:row r="33" ht="34" customHeight="1">
      <x:c r="A33" s="33" t="str">
        <x:v>U</x:v>
      </x:c>
      <x:c r="B33" s="33" t="str">
        <x:v>Unclear</x:v>
      </x:c>
      <x:c r="C33" s="33" t="str">
        <x:v>Trace is too vague to classify</x:v>
      </x:c>
      <x:c r="D33" s="33"/>
      <x:c r="E33" s="33"/>
      <x:c r="F33" s="33"/>
      <x:c r="G33" s="33"/>
    </x:row>
    <x:row r="34" ht="34" customHeight="1">
      <x:c r="A34" s="33" t="str">
        <x:v>O</x:v>
      </x:c>
      <x:c r="B34" s="33" t="str">
        <x:v>Other</x:v>
      </x:c>
      <x:c r="C34" s="33" t="str">
        <x:v>Different identifiable method</x:v>
      </x:c>
      <x:c r="D34" s="33"/>
      <x:c r="E34" s="33"/>
      <x:c r="F34" s="33"/>
      <x:c r="G34" s="33"/>
    </x:row>
    <x:row r="35" ht="34" customHeight="1">
      <x:c r="A35" s="33" t="str">
        <x:v>trace_components</x:v>
      </x:c>
      <x:c r="B35" s="33" t="str">
        <x:v>Methods materially executed</x:v>
      </x:c>
      <x:c r="C35" s="33" t="str">
        <x:v>D, E, or D+E; merely naming a method does not count</x:v>
      </x:c>
      <x:c r="D35" s="33"/>
      <x:c r="E35" s="33"/>
      <x:c r="F35" s="33"/>
      <x:c r="G35" s="33"/>
    </x:row>
    <x:row r="36" ht="34" customHeight="1">
      <x:c r="A36" s="33" t="str">
        <x:v>trace_sequence</x:v>
      </x:c>
      <x:c r="B36" s="33" t="str">
        <x:v>Order of executed methods</x:v>
      </x:c>
      <x:c r="C36" s="33" t="str">
        <x:v>D, E, D→E, or E→D</x:v>
      </x:c>
      <x:c r="D36" s="33"/>
      <x:c r="E36" s="33"/>
      <x:c r="F36" s="33"/>
      <x:c r="G36" s="33"/>
    </x:row>
    <x:row r="38">
      <x:c r="A38" s="36" t="str">
        <x:v>Coder note: trace coding describes the visible explanation, not inaccessible internal reasoning. Explicitly repaired slips are recorded as self-corrections while final-answer correctness and final internal consistency remain separately coded.</x:v>
      </x:c>
    </x:row>
  </x:sheetData>
  <x:mergeCells>
    <x:mergeCell ref="A1:G1"/>
    <x:mergeCell ref="A2:G2"/>
    <x:mergeCell ref="A4:G4"/>
    <x:mergeCell ref="A15:G15"/>
    <x:mergeCell ref="A26:G26"/>
    <x:mergeCell ref="A38:G4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3" max="3" width="24" hidden="0" customWidth="1"/>
    <x:col min="5" max="5" width="24" hidden="0" customWidth="1"/>
    <x:col min="2" max="2" width="38" hidden="0" customWidth="1"/>
    <x:col min="4" max="4" width="38" hidden="0" customWidth="1"/>
    <x:col min="6" max="6" width="38" hidden="0" customWidth="1"/>
  </x:cols>
  <x:sheetData>
    <x:row r="1" ht="30" customHeight="1">
      <x:c r="A1" s="3" t="str">
        <x:v>Combined Run Manifest</x:v>
      </x:c>
    </x:row>
    <x:row r="2" ht="28" customHeight="1">
      <x:c r="A2" s="7" t="str">
        <x:v>A/B base, C/D multiplicity extension, and E–H search-burden screening.</x:v>
      </x:c>
    </x:row>
    <x:row r="4">
      <x:c r="A4" s="15" t="str">
        <x:v>Field</x:v>
      </x:c>
      <x:c r="B4" s="15" t="str">
        <x:v>A/B base</x:v>
      </x:c>
      <x:c r="C4" s="15" t="str">
        <x:v>Field</x:v>
      </x:c>
      <x:c r="D4" s="15" t="str">
        <x:v>C/D extension</x:v>
      </x:c>
      <x:c r="E4" s="15" t="str">
        <x:v>Field</x:v>
      </x:c>
      <x:c r="F4" s="15" t="str">
        <x:v>E–H screening</x:v>
      </x:c>
    </x:row>
    <x:row r="5">
      <x:c r="A5" t="str">
        <x:v>created_at_utc</x:v>
      </x:c>
      <x:c r="B5" s="27" t="n">
        <x:v>46247.92873511574</x:v>
      </x:c>
      <x:c r="C5" t="str">
        <x:v>created_at_utc</x:v>
      </x:c>
      <x:c r="D5" s="27" t="n">
        <x:v>46247.99770447917</x:v>
      </x:c>
      <x:c r="E5" t="str">
        <x:v>created_at_utc</x:v>
      </x:c>
      <x:c r="F5" s="27" t="n">
        <x:v>46248.05908092592</x:v>
      </x:c>
    </x:row>
    <x:row r="6">
      <x:c r="A6" t="str">
        <x:v>runs</x:v>
      </x:c>
      <x:c r="B6" t="n">
        <x:v>30</x:v>
      </x:c>
      <x:c r="C6" t="str">
        <x:v>runs</x:v>
      </x:c>
      <x:c r="D6" t="n">
        <x:v>30</x:v>
      </x:c>
      <x:c r="E6" t="str">
        <x:v>runs</x:v>
      </x:c>
      <x:c r="F6" t="n">
        <x:v>36</x:v>
      </x:c>
    </x:row>
    <x:row r="7">
      <x:c r="A7" t="str">
        <x:v>graphs</x:v>
      </x:c>
      <x:c r="B7" t="str">
        <x:v>A, B</x:v>
      </x:c>
      <x:c r="C7" t="str">
        <x:v>graphs</x:v>
      </x:c>
      <x:c r="D7" t="str">
        <x:v>C, D</x:v>
      </x:c>
      <x:c r="E7" t="str">
        <x:v>graphs</x:v>
      </x:c>
      <x:c r="F7" t="str">
        <x:v>E, F, G, H</x:v>
      </x:c>
    </x:row>
    <x:row r="8">
      <x:c r="A8" t="str">
        <x:v>optimal paths</x:v>
      </x:c>
      <x:c r="B8" t="str">
        <x:v>2</x:v>
      </x:c>
      <x:c r="C8" t="str">
        <x:v>optimal paths</x:v>
      </x:c>
      <x:c r="D8" t="str">
        <x:v>4</x:v>
      </x:c>
      <x:c r="E8" t="str">
        <x:v>optimal paths</x:v>
      </x:c>
      <x:c r="F8" t="str">
        <x:v>4 or 8</x:v>
      </x:c>
    </x:row>
    <x:row r="9">
      <x:c r="A9" t="str">
        <x:v>edge-count relation</x:v>
      </x:c>
      <x:c r="B9" t="str">
        <x:v>A=same; B=different</x:v>
      </x:c>
      <x:c r="C9" t="str">
        <x:v>edge-count relation</x:v>
      </x:c>
      <x:c r="D9" t="str">
        <x:v>C=same; D=different</x:v>
      </x:c>
      <x:c r="E9" t="str">
        <x:v>edge-count relation</x:v>
      </x:c>
      <x:c r="F9" t="str">
        <x:v>E/G=same; F/H=different</x:v>
      </x:c>
    </x:row>
    <x:row r="10">
      <x:c r="A10" t="str">
        <x:v>models</x:v>
      </x:c>
      <x:c r="B10" t="str">
        <x:v>Claude, Mistral, DeepSeek</x:v>
      </x:c>
      <x:c r="C10" t="str">
        <x:v>models</x:v>
      </x:c>
      <x:c r="D10" t="str">
        <x:v>Claude, Mistral, DeepSeek</x:v>
      </x:c>
      <x:c r="E10" t="str">
        <x:v>models</x:v>
      </x:c>
      <x:c r="F10" t="str">
        <x:v>Claude, Mistral, DeepSeek</x:v>
      </x:c>
    </x:row>
    <x:row r="11">
      <x:c r="A11" t="str">
        <x:v>repetitions/model/graph</x:v>
      </x:c>
      <x:c r="B11" t="n">
        <x:v>5</x:v>
      </x:c>
      <x:c r="C11" t="str">
        <x:v>repetitions/model/graph</x:v>
      </x:c>
      <x:c r="D11" t="n">
        <x:v>5</x:v>
      </x:c>
      <x:c r="E11" t="str">
        <x:v>repetitions/model/graph</x:v>
      </x:c>
      <x:c r="F11" t="n">
        <x:v>3</x:v>
      </x:c>
    </x:row>
    <x:row r="12">
      <x:c r="A12" t="str">
        <x:v>temperature</x:v>
      </x:c>
      <x:c r="B12" t="str">
        <x:v>omitted; provider default</x:v>
      </x:c>
      <x:c r="C12" t="str">
        <x:v>temperature</x:v>
      </x:c>
      <x:c r="D12" t="str">
        <x:v>omitted; provider default</x:v>
      </x:c>
      <x:c r="E12" t="str">
        <x:v>temperature</x:v>
      </x:c>
      <x:c r="F12" t="str">
        <x:v>omitted; provider default</x:v>
      </x:c>
    </x:row>
    <x:row r="13">
      <x:c r="A13" t="str">
        <x:v>fallbacks</x:v>
      </x:c>
      <x:c r="B13" t="str">
        <x:v>disabled</x:v>
      </x:c>
      <x:c r="C13" t="str">
        <x:v>fallbacks</x:v>
      </x:c>
      <x:c r="D13" t="str">
        <x:v>disabled</x:v>
      </x:c>
      <x:c r="E13" t="str">
        <x:v>fallbacks</x:v>
      </x:c>
      <x:c r="F13" t="str">
        <x:v>disabled</x:v>
      </x:c>
    </x:row>
    <x:row r="15">
      <x:c r="A15" s="10" t="str">
        <x:v>Locked model/provider configuration</x:v>
      </x:c>
      <x:c r="B15" s="10"/>
      <x:c r="C15" s="10"/>
      <x:c r="D15" s="10"/>
      <x:c r="E15" s="10"/>
      <x:c r="F15" s="10"/>
    </x:row>
    <x:row r="16">
      <x:c r="A16" s="15" t="str">
        <x:v>Model key</x:v>
      </x:c>
      <x:c r="B16" s="15" t="str">
        <x:v>Requested model</x:v>
      </x:c>
      <x:c r="C16" s="15" t="str">
        <x:v>Provider</x:v>
      </x:c>
      <x:c r="D16" s="15" t="str">
        <x:v>Returned/validated</x:v>
      </x:c>
    </x:row>
    <x:row r="17">
      <x:c r="A17" t="str">
        <x:v>claude</x:v>
      </x:c>
      <x:c r="B17" t="str">
        <x:v>anthropic/claude-sonnet-4.6</x:v>
      </x:c>
      <x:c r="C17" t="str">
        <x:v>anthropic</x:v>
      </x:c>
      <x:c r="D17" t="str">
        <x:v>32/32 runs match request</x:v>
      </x:c>
    </x:row>
    <x:row r="18">
      <x:c r="A18" t="str">
        <x:v>mistral</x:v>
      </x:c>
      <x:c r="B18" t="str">
        <x:v>mistralai/mistral-large-2512</x:v>
      </x:c>
      <x:c r="C18" t="str">
        <x:v>mistral</x:v>
      </x:c>
      <x:c r="D18" t="str">
        <x:v>32/32 runs match request</x:v>
      </x:c>
    </x:row>
    <x:row r="19">
      <x:c r="A19" t="str">
        <x:v>deepseek</x:v>
      </x:c>
      <x:c r="B19" t="str">
        <x:v>deepseek/deepseek-v3.2-exp</x:v>
      </x:c>
      <x:c r="C19" t="str">
        <x:v>siliconflow</x:v>
      </x:c>
      <x:c r="D19" t="str">
        <x:v>32/32 runs match request</x:v>
      </x:c>
    </x:row>
    <x:row r="21" ht="28" customHeight="1">
      <x:c r="A21" s="40" t="str">
        <x:v>Design note: A–D test multiplicity and equal versus unequal optimal-path edge counts in small graphs. E–H add 9–16 feasible paths, 4–8 optima, and 5–8 min+1 distractors. These are screening instances, not replicated formal factorial cells.</x:v>
      </x:c>
    </x:row>
    <x:row r="22" ht="28" customHeight="1"/>
    <x:row r="23" ht="28" customHeight="1"/>
    <x:row r="24" ht="28" customHeight="1"/>
  </x:sheetData>
  <x:mergeCells>
    <x:mergeCell ref="A1:F1"/>
    <x:mergeCell ref="A2:F2"/>
    <x:mergeCell ref="A15:F15"/>
    <x:mergeCell ref="A21:F24"/>
  </x:mergeCells>
  <x:pageMargins left="0.7" right="0.7" top="0.75" bottom="0.75" header="0.3" footer="0.3"/>
</x:worksheet>
</file>